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dd866394bf9dec15/Desktop/"/>
    </mc:Choice>
  </mc:AlternateContent>
  <xr:revisionPtr revIDLastSave="2" documentId="8_{B0D818BA-E0F0-4457-B7EB-B2F90BCCDFCB}" xr6:coauthVersionLast="47" xr6:coauthVersionMax="47" xr10:uidLastSave="{ACE704B0-5428-443F-A442-3ABF09B4B624}"/>
  <bookViews>
    <workbookView xWindow="-110" yWindow="-110" windowWidth="19420" windowHeight="10300" activeTab="4" xr2:uid="{A7CA898A-7A0D-4634-ADD1-D185FBFF0905}"/>
  </bookViews>
  <sheets>
    <sheet name="World Cup" sheetId="1" r:id="rId1"/>
    <sheet name="KPI - 1" sheetId="3" r:id="rId2"/>
    <sheet name="World Cup Matches" sheetId="2" r:id="rId3"/>
    <sheet name="KPI - 2" sheetId="4" r:id="rId4"/>
    <sheet name="Dashboard" sheetId="5" r:id="rId5"/>
  </sheets>
  <definedNames>
    <definedName name="_xlnm._FilterDatabase" localSheetId="0" hidden="1">'World Cup'!$C$1:$C$23</definedName>
    <definedName name="Slicer_Host_Country">#N/A</definedName>
    <definedName name="Slicer_Stage">#N/A</definedName>
    <definedName name="Slicer_Winner">#N/A</definedName>
    <definedName name="Slicer_Year">#N/A</definedName>
    <definedName name="Slicer_Year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K901" i="2" l="1"/>
  <c r="J901" i="2"/>
  <c r="K900" i="2"/>
  <c r="J900" i="2"/>
  <c r="K899" i="2"/>
  <c r="J899" i="2"/>
  <c r="K898" i="2"/>
  <c r="J898" i="2"/>
  <c r="K897" i="2"/>
  <c r="J897" i="2"/>
  <c r="K896" i="2"/>
  <c r="J896" i="2"/>
  <c r="K895" i="2"/>
  <c r="J895" i="2"/>
  <c r="K894" i="2"/>
  <c r="J894" i="2"/>
  <c r="K893" i="2"/>
  <c r="J893" i="2"/>
  <c r="K892" i="2"/>
  <c r="J892" i="2"/>
  <c r="K891" i="2"/>
  <c r="J891" i="2"/>
  <c r="K890" i="2"/>
  <c r="J890" i="2"/>
  <c r="K889" i="2"/>
  <c r="J889" i="2"/>
  <c r="K888" i="2"/>
  <c r="J888" i="2"/>
  <c r="K887" i="2"/>
  <c r="J887" i="2"/>
  <c r="K886" i="2"/>
  <c r="J886" i="2"/>
  <c r="K885" i="2"/>
  <c r="J885" i="2"/>
  <c r="K884" i="2"/>
  <c r="J884" i="2"/>
  <c r="K883" i="2"/>
  <c r="J883" i="2"/>
  <c r="K882" i="2"/>
  <c r="J882" i="2"/>
  <c r="K881" i="2"/>
  <c r="J881" i="2"/>
  <c r="K880" i="2"/>
  <c r="J880" i="2"/>
  <c r="K879" i="2"/>
  <c r="J879" i="2"/>
  <c r="K878" i="2"/>
  <c r="J878" i="2"/>
  <c r="K877" i="2"/>
  <c r="J877" i="2"/>
  <c r="K876" i="2"/>
  <c r="J876" i="2"/>
  <c r="K875" i="2"/>
  <c r="J875" i="2"/>
  <c r="K874" i="2"/>
  <c r="J874" i="2"/>
  <c r="K873" i="2"/>
  <c r="J873" i="2"/>
  <c r="K872" i="2"/>
  <c r="J872" i="2"/>
  <c r="K871" i="2"/>
  <c r="J871" i="2"/>
  <c r="K870" i="2"/>
  <c r="J870" i="2"/>
  <c r="K869" i="2"/>
  <c r="J869" i="2"/>
  <c r="K868" i="2"/>
  <c r="J868" i="2"/>
  <c r="K867" i="2"/>
  <c r="J867" i="2"/>
  <c r="K866" i="2"/>
  <c r="J866" i="2"/>
  <c r="K865" i="2"/>
  <c r="J865" i="2"/>
  <c r="K864" i="2"/>
  <c r="J864" i="2"/>
  <c r="K863" i="2"/>
  <c r="J863" i="2"/>
  <c r="K862" i="2"/>
  <c r="J862" i="2"/>
  <c r="K861" i="2"/>
  <c r="J861" i="2"/>
  <c r="K860" i="2"/>
  <c r="J860" i="2"/>
  <c r="K859" i="2"/>
  <c r="J859" i="2"/>
  <c r="K858" i="2"/>
  <c r="J858" i="2"/>
  <c r="K857" i="2"/>
  <c r="J857" i="2"/>
  <c r="K856" i="2"/>
  <c r="J856" i="2"/>
  <c r="K855" i="2"/>
  <c r="J855" i="2"/>
  <c r="K854" i="2"/>
  <c r="J854" i="2"/>
  <c r="K853" i="2"/>
  <c r="J853" i="2"/>
  <c r="K852" i="2"/>
  <c r="J852" i="2"/>
  <c r="K851" i="2"/>
  <c r="J851" i="2"/>
  <c r="K850" i="2"/>
  <c r="J850" i="2"/>
  <c r="K849" i="2"/>
  <c r="J849" i="2"/>
  <c r="K848" i="2"/>
  <c r="J848" i="2"/>
  <c r="K847" i="2"/>
  <c r="J847" i="2"/>
  <c r="K846" i="2"/>
  <c r="J846" i="2"/>
  <c r="K845" i="2"/>
  <c r="J845" i="2"/>
  <c r="K844" i="2"/>
  <c r="J844" i="2"/>
  <c r="K843" i="2"/>
  <c r="J843" i="2"/>
  <c r="K842" i="2"/>
  <c r="J842" i="2"/>
  <c r="K841" i="2"/>
  <c r="J841" i="2"/>
  <c r="K840" i="2"/>
  <c r="J840" i="2"/>
  <c r="K839" i="2"/>
  <c r="J839" i="2"/>
  <c r="K838" i="2"/>
  <c r="J838" i="2"/>
  <c r="K837" i="2"/>
  <c r="J837" i="2"/>
  <c r="K836" i="2"/>
  <c r="J836" i="2"/>
  <c r="K835" i="2"/>
  <c r="J835" i="2"/>
  <c r="K834" i="2"/>
  <c r="J834" i="2"/>
  <c r="K833" i="2"/>
  <c r="J833" i="2"/>
  <c r="K832" i="2"/>
  <c r="J832" i="2"/>
  <c r="K831" i="2"/>
  <c r="J831" i="2"/>
  <c r="K830" i="2"/>
  <c r="J830" i="2"/>
  <c r="K829" i="2"/>
  <c r="J829" i="2"/>
  <c r="K828" i="2"/>
  <c r="J828" i="2"/>
  <c r="K827" i="2"/>
  <c r="J827" i="2"/>
  <c r="K826" i="2"/>
  <c r="J826" i="2"/>
  <c r="K825" i="2"/>
  <c r="J825" i="2"/>
  <c r="K824" i="2"/>
  <c r="J824" i="2"/>
  <c r="K823" i="2"/>
  <c r="J823" i="2"/>
  <c r="K822" i="2"/>
  <c r="J822" i="2"/>
  <c r="K821" i="2"/>
  <c r="J821" i="2"/>
  <c r="K820" i="2"/>
  <c r="J820" i="2"/>
  <c r="K819" i="2"/>
  <c r="J819" i="2"/>
  <c r="K818" i="2"/>
  <c r="J818" i="2"/>
  <c r="K817" i="2"/>
  <c r="J817" i="2"/>
  <c r="K816" i="2"/>
  <c r="J816" i="2"/>
  <c r="K815" i="2"/>
  <c r="J815" i="2"/>
  <c r="K814" i="2"/>
  <c r="J814" i="2"/>
  <c r="K813" i="2"/>
  <c r="J813" i="2"/>
  <c r="K812" i="2"/>
  <c r="J812" i="2"/>
  <c r="K811" i="2"/>
  <c r="J811" i="2"/>
  <c r="K810" i="2"/>
  <c r="J810" i="2"/>
  <c r="K809" i="2"/>
  <c r="J809" i="2"/>
  <c r="K808" i="2"/>
  <c r="J808" i="2"/>
  <c r="K807" i="2"/>
  <c r="J807" i="2"/>
  <c r="K806" i="2"/>
  <c r="J806" i="2"/>
  <c r="K805" i="2"/>
  <c r="J805" i="2"/>
  <c r="K804" i="2"/>
  <c r="J804" i="2"/>
  <c r="K803" i="2"/>
  <c r="J803" i="2"/>
  <c r="K802" i="2"/>
  <c r="J802" i="2"/>
  <c r="K801" i="2"/>
  <c r="J801" i="2"/>
  <c r="K800" i="2"/>
  <c r="J800" i="2"/>
  <c r="K799" i="2"/>
  <c r="J799" i="2"/>
  <c r="K798" i="2"/>
  <c r="J798" i="2"/>
  <c r="K797" i="2"/>
  <c r="J797" i="2"/>
  <c r="K796" i="2"/>
  <c r="J796" i="2"/>
  <c r="K795" i="2"/>
  <c r="J795" i="2"/>
  <c r="K794" i="2"/>
  <c r="J794" i="2"/>
  <c r="K793" i="2"/>
  <c r="J793" i="2"/>
  <c r="K792" i="2"/>
  <c r="J792" i="2"/>
  <c r="K791" i="2"/>
  <c r="J791" i="2"/>
  <c r="K790" i="2"/>
  <c r="J790" i="2"/>
  <c r="K789" i="2"/>
  <c r="J789" i="2"/>
  <c r="K788" i="2"/>
  <c r="J788" i="2"/>
  <c r="K787" i="2"/>
  <c r="J787" i="2"/>
  <c r="K786" i="2"/>
  <c r="J786" i="2"/>
  <c r="K785" i="2"/>
  <c r="J785" i="2"/>
  <c r="K784" i="2"/>
  <c r="J784" i="2"/>
  <c r="K783" i="2"/>
  <c r="J783" i="2"/>
  <c r="K782" i="2"/>
  <c r="J782" i="2"/>
  <c r="K781" i="2"/>
  <c r="J781" i="2"/>
  <c r="K780" i="2"/>
  <c r="J780" i="2"/>
  <c r="K779" i="2"/>
  <c r="J779" i="2"/>
  <c r="K778" i="2"/>
  <c r="J778" i="2"/>
  <c r="K777" i="2"/>
  <c r="J777" i="2"/>
  <c r="K776" i="2"/>
  <c r="J776" i="2"/>
  <c r="K775" i="2"/>
  <c r="J775" i="2"/>
  <c r="K774" i="2"/>
  <c r="J774" i="2"/>
  <c r="K773" i="2"/>
  <c r="J773" i="2"/>
  <c r="K772" i="2"/>
  <c r="J772" i="2"/>
  <c r="K771" i="2"/>
  <c r="J771" i="2"/>
  <c r="K770" i="2"/>
  <c r="J770" i="2"/>
  <c r="K769" i="2"/>
  <c r="J769" i="2"/>
  <c r="K768" i="2"/>
  <c r="J768" i="2"/>
  <c r="K767" i="2"/>
  <c r="J767" i="2"/>
  <c r="K766" i="2"/>
  <c r="J766" i="2"/>
  <c r="K765" i="2"/>
  <c r="J765" i="2"/>
  <c r="K764" i="2"/>
  <c r="J764" i="2"/>
  <c r="K763" i="2"/>
  <c r="J763" i="2"/>
  <c r="K762" i="2"/>
  <c r="J762" i="2"/>
  <c r="K761" i="2"/>
  <c r="J761" i="2"/>
  <c r="K760" i="2"/>
  <c r="J760" i="2"/>
  <c r="K759" i="2"/>
  <c r="J759" i="2"/>
  <c r="K758" i="2"/>
  <c r="J758" i="2"/>
  <c r="K757" i="2"/>
  <c r="J757" i="2"/>
  <c r="K756" i="2"/>
  <c r="J756" i="2"/>
  <c r="K755" i="2"/>
  <c r="J755" i="2"/>
  <c r="K754" i="2"/>
  <c r="J754" i="2"/>
  <c r="K753" i="2"/>
  <c r="J753" i="2"/>
  <c r="K752" i="2"/>
  <c r="J752" i="2"/>
  <c r="K751" i="2"/>
  <c r="J751" i="2"/>
  <c r="K750" i="2"/>
  <c r="J750" i="2"/>
  <c r="K749" i="2"/>
  <c r="J749" i="2"/>
  <c r="K748" i="2"/>
  <c r="J748" i="2"/>
  <c r="K747" i="2"/>
  <c r="J747" i="2"/>
  <c r="K746" i="2"/>
  <c r="J746" i="2"/>
  <c r="K745" i="2"/>
  <c r="J745" i="2"/>
  <c r="K744" i="2"/>
  <c r="J744" i="2"/>
  <c r="K743" i="2"/>
  <c r="J743" i="2"/>
  <c r="K742" i="2"/>
  <c r="J742" i="2"/>
  <c r="K741" i="2"/>
  <c r="J741" i="2"/>
  <c r="K740" i="2"/>
  <c r="J740" i="2"/>
  <c r="K739" i="2"/>
  <c r="J739" i="2"/>
  <c r="K738" i="2"/>
  <c r="J738" i="2"/>
  <c r="K737" i="2"/>
  <c r="J737" i="2"/>
  <c r="K736" i="2"/>
  <c r="J736" i="2"/>
  <c r="K735" i="2"/>
  <c r="J735" i="2"/>
  <c r="K734" i="2"/>
  <c r="J734" i="2"/>
  <c r="K733" i="2"/>
  <c r="J733" i="2"/>
  <c r="K732" i="2"/>
  <c r="J732" i="2"/>
  <c r="K731" i="2"/>
  <c r="J731" i="2"/>
  <c r="K730" i="2"/>
  <c r="J730" i="2"/>
  <c r="K729" i="2"/>
  <c r="J729" i="2"/>
  <c r="K728" i="2"/>
  <c r="J728" i="2"/>
  <c r="K727" i="2"/>
  <c r="J727" i="2"/>
  <c r="K726" i="2"/>
  <c r="J726" i="2"/>
  <c r="K725" i="2"/>
  <c r="J725" i="2"/>
  <c r="K724" i="2"/>
  <c r="J724" i="2"/>
  <c r="K723" i="2"/>
  <c r="J723" i="2"/>
  <c r="K722" i="2"/>
  <c r="J722" i="2"/>
  <c r="K721" i="2"/>
  <c r="J721" i="2"/>
  <c r="K720" i="2"/>
  <c r="J720" i="2"/>
  <c r="K719" i="2"/>
  <c r="J719" i="2"/>
  <c r="K718" i="2"/>
  <c r="J718" i="2"/>
  <c r="K717" i="2"/>
  <c r="J717" i="2"/>
  <c r="K716" i="2"/>
  <c r="J716" i="2"/>
  <c r="K715" i="2"/>
  <c r="J715" i="2"/>
  <c r="K714" i="2"/>
  <c r="J714" i="2"/>
  <c r="K713" i="2"/>
  <c r="J713" i="2"/>
  <c r="K712" i="2"/>
  <c r="J712" i="2"/>
  <c r="K711" i="2"/>
  <c r="J711" i="2"/>
  <c r="K710" i="2"/>
  <c r="J710" i="2"/>
  <c r="K709" i="2"/>
  <c r="J709" i="2"/>
  <c r="K708" i="2"/>
  <c r="J708" i="2"/>
  <c r="K707" i="2"/>
  <c r="J707" i="2"/>
  <c r="K706" i="2"/>
  <c r="J706" i="2"/>
  <c r="K705" i="2"/>
  <c r="J705" i="2"/>
  <c r="K704" i="2"/>
  <c r="J704" i="2"/>
  <c r="K703" i="2"/>
  <c r="J703" i="2"/>
  <c r="K702" i="2"/>
  <c r="J702" i="2"/>
  <c r="K701" i="2"/>
  <c r="J701" i="2"/>
  <c r="K700" i="2"/>
  <c r="J700" i="2"/>
  <c r="K699" i="2"/>
  <c r="J699" i="2"/>
  <c r="K698" i="2"/>
  <c r="J698" i="2"/>
  <c r="K697" i="2"/>
  <c r="J697" i="2"/>
  <c r="K696" i="2"/>
  <c r="J696" i="2"/>
  <c r="K695" i="2"/>
  <c r="J695" i="2"/>
  <c r="K694" i="2"/>
  <c r="J694" i="2"/>
  <c r="K693" i="2"/>
  <c r="J693" i="2"/>
  <c r="K692" i="2"/>
  <c r="J692" i="2"/>
  <c r="K691" i="2"/>
  <c r="J691" i="2"/>
  <c r="K690" i="2"/>
  <c r="J690" i="2"/>
  <c r="K689" i="2"/>
  <c r="J689" i="2"/>
  <c r="K688" i="2"/>
  <c r="J688" i="2"/>
  <c r="K687" i="2"/>
  <c r="J687" i="2"/>
  <c r="K686" i="2"/>
  <c r="J686" i="2"/>
  <c r="K685" i="2"/>
  <c r="J685" i="2"/>
  <c r="K684" i="2"/>
  <c r="J684" i="2"/>
  <c r="K683" i="2"/>
  <c r="J683" i="2"/>
  <c r="K682" i="2"/>
  <c r="J682" i="2"/>
  <c r="K681" i="2"/>
  <c r="J681" i="2"/>
  <c r="K680" i="2"/>
  <c r="J680" i="2"/>
  <c r="K679" i="2"/>
  <c r="J679" i="2"/>
  <c r="K678" i="2"/>
  <c r="J678" i="2"/>
  <c r="K677" i="2"/>
  <c r="J677" i="2"/>
  <c r="K676" i="2"/>
  <c r="J676" i="2"/>
  <c r="K675" i="2"/>
  <c r="J675" i="2"/>
  <c r="K674" i="2"/>
  <c r="J674" i="2"/>
  <c r="K673" i="2"/>
  <c r="J673" i="2"/>
  <c r="K672" i="2"/>
  <c r="J672" i="2"/>
  <c r="K671" i="2"/>
  <c r="J671" i="2"/>
  <c r="K670" i="2"/>
  <c r="J670" i="2"/>
  <c r="K669" i="2"/>
  <c r="J669" i="2"/>
  <c r="K668" i="2"/>
  <c r="J668" i="2"/>
  <c r="K667" i="2"/>
  <c r="J667" i="2"/>
  <c r="K666" i="2"/>
  <c r="J666" i="2"/>
  <c r="K665" i="2"/>
  <c r="J665" i="2"/>
  <c r="K664" i="2"/>
  <c r="J664" i="2"/>
  <c r="K663" i="2"/>
  <c r="J663" i="2"/>
  <c r="K662" i="2"/>
  <c r="J662" i="2"/>
  <c r="K661" i="2"/>
  <c r="J661" i="2"/>
  <c r="K660" i="2"/>
  <c r="J660" i="2"/>
  <c r="K659" i="2"/>
  <c r="J659" i="2"/>
  <c r="K658" i="2"/>
  <c r="J658" i="2"/>
  <c r="K657" i="2"/>
  <c r="J657" i="2"/>
  <c r="K656" i="2"/>
  <c r="J656" i="2"/>
  <c r="K655" i="2"/>
  <c r="J655" i="2"/>
  <c r="K654" i="2"/>
  <c r="J654" i="2"/>
  <c r="K653" i="2"/>
  <c r="J653" i="2"/>
  <c r="K652" i="2"/>
  <c r="J652" i="2"/>
  <c r="K651" i="2"/>
  <c r="J651" i="2"/>
  <c r="K650" i="2"/>
  <c r="J650" i="2"/>
  <c r="K649" i="2"/>
  <c r="J649" i="2"/>
  <c r="K648" i="2"/>
  <c r="J648" i="2"/>
  <c r="K647" i="2"/>
  <c r="J647" i="2"/>
  <c r="K646" i="2"/>
  <c r="J646" i="2"/>
  <c r="K645" i="2"/>
  <c r="J645" i="2"/>
  <c r="K644" i="2"/>
  <c r="J644" i="2"/>
  <c r="K643" i="2"/>
  <c r="J643" i="2"/>
  <c r="K642" i="2"/>
  <c r="J642" i="2"/>
  <c r="K641" i="2"/>
  <c r="J641" i="2"/>
  <c r="K640" i="2"/>
  <c r="J640" i="2"/>
  <c r="K639" i="2"/>
  <c r="J639" i="2"/>
  <c r="K638" i="2"/>
  <c r="J638" i="2"/>
  <c r="K637" i="2"/>
  <c r="J637" i="2"/>
  <c r="K636" i="2"/>
  <c r="J636" i="2"/>
  <c r="K635" i="2"/>
  <c r="J635" i="2"/>
  <c r="K634" i="2"/>
  <c r="J634" i="2"/>
  <c r="K633" i="2"/>
  <c r="J633" i="2"/>
  <c r="K632" i="2"/>
  <c r="J632" i="2"/>
  <c r="K631" i="2"/>
  <c r="J631" i="2"/>
  <c r="K630" i="2"/>
  <c r="J630" i="2"/>
  <c r="K629" i="2"/>
  <c r="J629" i="2"/>
  <c r="K628" i="2"/>
  <c r="J628" i="2"/>
  <c r="K627" i="2"/>
  <c r="J627" i="2"/>
  <c r="K626" i="2"/>
  <c r="J626" i="2"/>
  <c r="K625" i="2"/>
  <c r="J625" i="2"/>
  <c r="K624" i="2"/>
  <c r="J624" i="2"/>
  <c r="K623" i="2"/>
  <c r="J623" i="2"/>
  <c r="K622" i="2"/>
  <c r="J622" i="2"/>
  <c r="K621" i="2"/>
  <c r="J621" i="2"/>
  <c r="K620" i="2"/>
  <c r="J620" i="2"/>
  <c r="K619" i="2"/>
  <c r="J619" i="2"/>
  <c r="K618" i="2"/>
  <c r="J618" i="2"/>
  <c r="K617" i="2"/>
  <c r="J617" i="2"/>
  <c r="K616" i="2"/>
  <c r="J616" i="2"/>
  <c r="K615" i="2"/>
  <c r="J615" i="2"/>
  <c r="K614" i="2"/>
  <c r="J614" i="2"/>
  <c r="K613" i="2"/>
  <c r="J613" i="2"/>
  <c r="K612" i="2"/>
  <c r="J612" i="2"/>
  <c r="K611" i="2"/>
  <c r="J611" i="2"/>
  <c r="K610" i="2"/>
  <c r="J610" i="2"/>
  <c r="K609" i="2"/>
  <c r="J609" i="2"/>
  <c r="K608" i="2"/>
  <c r="J608" i="2"/>
  <c r="K607" i="2"/>
  <c r="J607" i="2"/>
  <c r="K606" i="2"/>
  <c r="J606" i="2"/>
  <c r="K605" i="2"/>
  <c r="J605" i="2"/>
  <c r="K604" i="2"/>
  <c r="J604" i="2"/>
  <c r="K603" i="2"/>
  <c r="J603" i="2"/>
  <c r="K602" i="2"/>
  <c r="J602" i="2"/>
  <c r="K601" i="2"/>
  <c r="J601" i="2"/>
  <c r="K600" i="2"/>
  <c r="J600" i="2"/>
  <c r="K599" i="2"/>
  <c r="J599" i="2"/>
  <c r="K598" i="2"/>
  <c r="J598" i="2"/>
  <c r="K597" i="2"/>
  <c r="J597" i="2"/>
  <c r="K596" i="2"/>
  <c r="J596" i="2"/>
  <c r="K595" i="2"/>
  <c r="J595" i="2"/>
  <c r="K594" i="2"/>
  <c r="J594" i="2"/>
  <c r="K593" i="2"/>
  <c r="J593" i="2"/>
  <c r="K592" i="2"/>
  <c r="J592" i="2"/>
  <c r="K591" i="2"/>
  <c r="J591" i="2"/>
  <c r="K590" i="2"/>
  <c r="J590" i="2"/>
  <c r="K589" i="2"/>
  <c r="J589" i="2"/>
  <c r="K588" i="2"/>
  <c r="J588" i="2"/>
  <c r="K587" i="2"/>
  <c r="J587" i="2"/>
  <c r="K586" i="2"/>
  <c r="J586" i="2"/>
  <c r="K585" i="2"/>
  <c r="J585" i="2"/>
  <c r="K584" i="2"/>
  <c r="J584" i="2"/>
  <c r="K583" i="2"/>
  <c r="J583" i="2"/>
  <c r="K582" i="2"/>
  <c r="J582" i="2"/>
  <c r="K581" i="2"/>
  <c r="J581" i="2"/>
  <c r="K580" i="2"/>
  <c r="J580" i="2"/>
  <c r="K579" i="2"/>
  <c r="J579" i="2"/>
  <c r="K578" i="2"/>
  <c r="J578" i="2"/>
  <c r="K577" i="2"/>
  <c r="J577" i="2"/>
  <c r="K576" i="2"/>
  <c r="J576" i="2"/>
  <c r="K575" i="2"/>
  <c r="J575" i="2"/>
  <c r="K574" i="2"/>
  <c r="J574" i="2"/>
  <c r="K573" i="2"/>
  <c r="J573" i="2"/>
  <c r="K572" i="2"/>
  <c r="J572" i="2"/>
  <c r="K571" i="2"/>
  <c r="J571" i="2"/>
  <c r="K570" i="2"/>
  <c r="J570" i="2"/>
  <c r="K569" i="2"/>
  <c r="J569" i="2"/>
  <c r="K568" i="2"/>
  <c r="J568" i="2"/>
  <c r="K567" i="2"/>
  <c r="J567" i="2"/>
  <c r="K566" i="2"/>
  <c r="J566" i="2"/>
  <c r="K565" i="2"/>
  <c r="J565" i="2"/>
  <c r="K564" i="2"/>
  <c r="J564" i="2"/>
  <c r="K563" i="2"/>
  <c r="J563" i="2"/>
  <c r="K562" i="2"/>
  <c r="J562" i="2"/>
  <c r="K561" i="2"/>
  <c r="J561" i="2"/>
  <c r="K560" i="2"/>
  <c r="J560" i="2"/>
  <c r="K559" i="2"/>
  <c r="J559" i="2"/>
  <c r="K558" i="2"/>
  <c r="J558" i="2"/>
  <c r="K557" i="2"/>
  <c r="J557" i="2"/>
  <c r="K556" i="2"/>
  <c r="J556" i="2"/>
  <c r="K555" i="2"/>
  <c r="J555" i="2"/>
  <c r="K554" i="2"/>
  <c r="J554" i="2"/>
  <c r="K553" i="2"/>
  <c r="J553" i="2"/>
  <c r="K552" i="2"/>
  <c r="J552" i="2"/>
  <c r="K551" i="2"/>
  <c r="J551" i="2"/>
  <c r="K550" i="2"/>
  <c r="J550" i="2"/>
  <c r="K549" i="2"/>
  <c r="J549" i="2"/>
  <c r="K548" i="2"/>
  <c r="J548" i="2"/>
  <c r="K547" i="2"/>
  <c r="J547" i="2"/>
  <c r="K546" i="2"/>
  <c r="J546" i="2"/>
  <c r="K545" i="2"/>
  <c r="J545" i="2"/>
  <c r="K544" i="2"/>
  <c r="J544" i="2"/>
  <c r="K543" i="2"/>
  <c r="J543" i="2"/>
  <c r="K542" i="2"/>
  <c r="J542" i="2"/>
  <c r="K541" i="2"/>
  <c r="J541" i="2"/>
  <c r="K540" i="2"/>
  <c r="J540" i="2"/>
  <c r="K539" i="2"/>
  <c r="J539" i="2"/>
  <c r="K538" i="2"/>
  <c r="J538" i="2"/>
  <c r="K537" i="2"/>
  <c r="J537" i="2"/>
  <c r="K536" i="2"/>
  <c r="J536" i="2"/>
  <c r="K535" i="2"/>
  <c r="J535" i="2"/>
  <c r="K534" i="2"/>
  <c r="J534" i="2"/>
  <c r="K533" i="2"/>
  <c r="J533" i="2"/>
  <c r="K532" i="2"/>
  <c r="J532" i="2"/>
  <c r="K531" i="2"/>
  <c r="J531" i="2"/>
  <c r="K530" i="2"/>
  <c r="J530" i="2"/>
  <c r="K529" i="2"/>
  <c r="J529" i="2"/>
  <c r="K528" i="2"/>
  <c r="J528" i="2"/>
  <c r="K527" i="2"/>
  <c r="J527" i="2"/>
  <c r="K526" i="2"/>
  <c r="J526" i="2"/>
  <c r="K525" i="2"/>
  <c r="J525" i="2"/>
  <c r="K524" i="2"/>
  <c r="J524" i="2"/>
  <c r="K523" i="2"/>
  <c r="J523" i="2"/>
  <c r="K522" i="2"/>
  <c r="J522" i="2"/>
  <c r="K521" i="2"/>
  <c r="J521" i="2"/>
  <c r="K520" i="2"/>
  <c r="J520" i="2"/>
  <c r="K519" i="2"/>
  <c r="J519" i="2"/>
  <c r="K518" i="2"/>
  <c r="J518" i="2"/>
  <c r="K517" i="2"/>
  <c r="J517" i="2"/>
  <c r="K516" i="2"/>
  <c r="J516" i="2"/>
  <c r="K515" i="2"/>
  <c r="J515" i="2"/>
  <c r="K514" i="2"/>
  <c r="J514" i="2"/>
  <c r="K513" i="2"/>
  <c r="J513" i="2"/>
  <c r="K512" i="2"/>
  <c r="J512" i="2"/>
  <c r="K511" i="2"/>
  <c r="J511" i="2"/>
  <c r="K510" i="2"/>
  <c r="J510" i="2"/>
  <c r="K509" i="2"/>
  <c r="J509" i="2"/>
  <c r="K508" i="2"/>
  <c r="J508" i="2"/>
  <c r="K507" i="2"/>
  <c r="J507" i="2"/>
  <c r="K506" i="2"/>
  <c r="J506" i="2"/>
  <c r="K505" i="2"/>
  <c r="J505" i="2"/>
  <c r="K504" i="2"/>
  <c r="J504" i="2"/>
  <c r="K503" i="2"/>
  <c r="J503" i="2"/>
  <c r="K502" i="2"/>
  <c r="J502" i="2"/>
  <c r="K501" i="2"/>
  <c r="J501" i="2"/>
  <c r="K500" i="2"/>
  <c r="J500" i="2"/>
  <c r="K499" i="2"/>
  <c r="J499" i="2"/>
  <c r="K498" i="2"/>
  <c r="J498" i="2"/>
  <c r="K497" i="2"/>
  <c r="J497" i="2"/>
  <c r="K496" i="2"/>
  <c r="J496" i="2"/>
  <c r="K495" i="2"/>
  <c r="J495" i="2"/>
  <c r="K494" i="2"/>
  <c r="J494" i="2"/>
  <c r="K493" i="2"/>
  <c r="J493" i="2"/>
  <c r="K492" i="2"/>
  <c r="J492" i="2"/>
  <c r="K491" i="2"/>
  <c r="J491" i="2"/>
  <c r="K490" i="2"/>
  <c r="J490" i="2"/>
  <c r="K489" i="2"/>
  <c r="J489" i="2"/>
  <c r="K488" i="2"/>
  <c r="J488" i="2"/>
  <c r="K487" i="2"/>
  <c r="J487" i="2"/>
  <c r="K486" i="2"/>
  <c r="J486" i="2"/>
  <c r="K485" i="2"/>
  <c r="J485" i="2"/>
  <c r="K484" i="2"/>
  <c r="J484" i="2"/>
  <c r="K483" i="2"/>
  <c r="J483" i="2"/>
  <c r="K482" i="2"/>
  <c r="J482" i="2"/>
  <c r="K481" i="2"/>
  <c r="J481" i="2"/>
  <c r="K480" i="2"/>
  <c r="J480" i="2"/>
  <c r="K479" i="2"/>
  <c r="J479" i="2"/>
  <c r="K478" i="2"/>
  <c r="J478" i="2"/>
  <c r="K477" i="2"/>
  <c r="J477" i="2"/>
  <c r="K476" i="2"/>
  <c r="J476" i="2"/>
  <c r="K475" i="2"/>
  <c r="J475" i="2"/>
  <c r="K474" i="2"/>
  <c r="J474" i="2"/>
  <c r="K473" i="2"/>
  <c r="J473" i="2"/>
  <c r="K472" i="2"/>
  <c r="J472" i="2"/>
  <c r="K471" i="2"/>
  <c r="J471" i="2"/>
  <c r="K470" i="2"/>
  <c r="J470" i="2"/>
  <c r="K469" i="2"/>
  <c r="J469" i="2"/>
  <c r="K468" i="2"/>
  <c r="J468" i="2"/>
  <c r="K467" i="2"/>
  <c r="J467" i="2"/>
  <c r="K466" i="2"/>
  <c r="J466" i="2"/>
  <c r="K465" i="2"/>
  <c r="J465" i="2"/>
  <c r="K464" i="2"/>
  <c r="J464" i="2"/>
  <c r="K463" i="2"/>
  <c r="J463" i="2"/>
  <c r="K462" i="2"/>
  <c r="J462" i="2"/>
  <c r="K461" i="2"/>
  <c r="J461" i="2"/>
  <c r="K460" i="2"/>
  <c r="J460" i="2"/>
  <c r="K459" i="2"/>
  <c r="J459" i="2"/>
  <c r="K458" i="2"/>
  <c r="J458" i="2"/>
  <c r="K457" i="2"/>
  <c r="J457" i="2"/>
  <c r="K456" i="2"/>
  <c r="J456" i="2"/>
  <c r="K455" i="2"/>
  <c r="J455" i="2"/>
  <c r="K454" i="2"/>
  <c r="J454" i="2"/>
  <c r="K453" i="2"/>
  <c r="J453" i="2"/>
  <c r="K452" i="2"/>
  <c r="J452" i="2"/>
  <c r="K451" i="2"/>
  <c r="J451" i="2"/>
  <c r="K450" i="2"/>
  <c r="J450" i="2"/>
  <c r="K449" i="2"/>
  <c r="J449" i="2"/>
  <c r="K448" i="2"/>
  <c r="J448" i="2"/>
  <c r="K447" i="2"/>
  <c r="J447" i="2"/>
  <c r="K446" i="2"/>
  <c r="J446" i="2"/>
  <c r="K445" i="2"/>
  <c r="J445" i="2"/>
  <c r="K444" i="2"/>
  <c r="J444" i="2"/>
  <c r="K443" i="2"/>
  <c r="J443" i="2"/>
  <c r="K442" i="2"/>
  <c r="J442" i="2"/>
  <c r="K441" i="2"/>
  <c r="J441" i="2"/>
  <c r="K440" i="2"/>
  <c r="J440" i="2"/>
  <c r="K439" i="2"/>
  <c r="J439" i="2"/>
  <c r="K438" i="2"/>
  <c r="J438" i="2"/>
  <c r="K437" i="2"/>
  <c r="J437" i="2"/>
  <c r="K436" i="2"/>
  <c r="J436" i="2"/>
  <c r="K435" i="2"/>
  <c r="J435" i="2"/>
  <c r="K434" i="2"/>
  <c r="J434" i="2"/>
  <c r="K433" i="2"/>
  <c r="J433" i="2"/>
  <c r="K432" i="2"/>
  <c r="J432" i="2"/>
  <c r="K431" i="2"/>
  <c r="J431" i="2"/>
  <c r="K430" i="2"/>
  <c r="J430" i="2"/>
  <c r="K429" i="2"/>
  <c r="J429" i="2"/>
  <c r="K428" i="2"/>
  <c r="J428" i="2"/>
  <c r="K427" i="2"/>
  <c r="J427" i="2"/>
  <c r="K426" i="2"/>
  <c r="J426" i="2"/>
  <c r="K425" i="2"/>
  <c r="J425" i="2"/>
  <c r="K424" i="2"/>
  <c r="J424" i="2"/>
  <c r="K423" i="2"/>
  <c r="J423" i="2"/>
  <c r="K422" i="2"/>
  <c r="J422" i="2"/>
  <c r="K421" i="2"/>
  <c r="J421" i="2"/>
  <c r="K420" i="2"/>
  <c r="J420" i="2"/>
  <c r="K419" i="2"/>
  <c r="J419" i="2"/>
  <c r="K418" i="2"/>
  <c r="J418" i="2"/>
  <c r="K417" i="2"/>
  <c r="J417" i="2"/>
  <c r="K416" i="2"/>
  <c r="J416" i="2"/>
  <c r="K415" i="2"/>
  <c r="J415" i="2"/>
  <c r="K414" i="2"/>
  <c r="J414" i="2"/>
  <c r="K413" i="2"/>
  <c r="J413" i="2"/>
  <c r="K412" i="2"/>
  <c r="J412" i="2"/>
  <c r="K411" i="2"/>
  <c r="J411" i="2"/>
  <c r="K410" i="2"/>
  <c r="J410" i="2"/>
  <c r="K409" i="2"/>
  <c r="J409" i="2"/>
  <c r="K408" i="2"/>
  <c r="J408" i="2"/>
  <c r="K407" i="2"/>
  <c r="J407" i="2"/>
  <c r="K406" i="2"/>
  <c r="J406" i="2"/>
  <c r="K405" i="2"/>
  <c r="J405" i="2"/>
  <c r="K404" i="2"/>
  <c r="J404" i="2"/>
  <c r="K403" i="2"/>
  <c r="J403" i="2"/>
  <c r="K402" i="2"/>
  <c r="J402" i="2"/>
  <c r="K401" i="2"/>
  <c r="J401" i="2"/>
  <c r="K400" i="2"/>
  <c r="J400" i="2"/>
  <c r="K399" i="2"/>
  <c r="J399" i="2"/>
  <c r="K398" i="2"/>
  <c r="J398" i="2"/>
  <c r="K397" i="2"/>
  <c r="J397" i="2"/>
  <c r="K396" i="2"/>
  <c r="J396" i="2"/>
  <c r="K395" i="2"/>
  <c r="J395" i="2"/>
  <c r="K394" i="2"/>
  <c r="J394" i="2"/>
  <c r="K393" i="2"/>
  <c r="J393" i="2"/>
  <c r="K392" i="2"/>
  <c r="J392" i="2"/>
  <c r="K391" i="2"/>
  <c r="J391" i="2"/>
  <c r="K390" i="2"/>
  <c r="J390" i="2"/>
  <c r="K389" i="2"/>
  <c r="J389" i="2"/>
  <c r="K388" i="2"/>
  <c r="J388" i="2"/>
  <c r="K387" i="2"/>
  <c r="J387" i="2"/>
  <c r="K386" i="2"/>
  <c r="J386" i="2"/>
  <c r="K385" i="2"/>
  <c r="J385" i="2"/>
  <c r="K384" i="2"/>
  <c r="J384" i="2"/>
  <c r="K383" i="2"/>
  <c r="J383" i="2"/>
  <c r="K382" i="2"/>
  <c r="J382" i="2"/>
  <c r="K381" i="2"/>
  <c r="J381" i="2"/>
  <c r="K380" i="2"/>
  <c r="J380" i="2"/>
  <c r="K379" i="2"/>
  <c r="J379" i="2"/>
  <c r="K378" i="2"/>
  <c r="J378" i="2"/>
  <c r="K377" i="2"/>
  <c r="J377" i="2"/>
  <c r="K376" i="2"/>
  <c r="J376" i="2"/>
  <c r="K375" i="2"/>
  <c r="J375" i="2"/>
  <c r="K374" i="2"/>
  <c r="J374" i="2"/>
  <c r="K373" i="2"/>
  <c r="J373" i="2"/>
  <c r="K372" i="2"/>
  <c r="J372" i="2"/>
  <c r="K371" i="2"/>
  <c r="J371" i="2"/>
  <c r="K370" i="2"/>
  <c r="J370" i="2"/>
  <c r="K369" i="2"/>
  <c r="J369" i="2"/>
  <c r="K368" i="2"/>
  <c r="J368" i="2"/>
  <c r="K367" i="2"/>
  <c r="J367" i="2"/>
  <c r="K366" i="2"/>
  <c r="J366" i="2"/>
  <c r="K365" i="2"/>
  <c r="J365" i="2"/>
  <c r="K364" i="2"/>
  <c r="J364" i="2"/>
  <c r="K363" i="2"/>
  <c r="J363" i="2"/>
  <c r="K362" i="2"/>
  <c r="J362" i="2"/>
  <c r="K361" i="2"/>
  <c r="J361" i="2"/>
  <c r="K360" i="2"/>
  <c r="J360" i="2"/>
  <c r="K359" i="2"/>
  <c r="J359" i="2"/>
  <c r="K358" i="2"/>
  <c r="J358" i="2"/>
  <c r="K357" i="2"/>
  <c r="J357" i="2"/>
  <c r="K356" i="2"/>
  <c r="J356" i="2"/>
  <c r="K355" i="2"/>
  <c r="J355" i="2"/>
  <c r="K354" i="2"/>
  <c r="J354" i="2"/>
  <c r="K353" i="2"/>
  <c r="J353" i="2"/>
  <c r="K352" i="2"/>
  <c r="J352" i="2"/>
  <c r="K351" i="2"/>
  <c r="J351" i="2"/>
  <c r="K350" i="2"/>
  <c r="J350" i="2"/>
  <c r="K349" i="2"/>
  <c r="J349" i="2"/>
  <c r="K348" i="2"/>
  <c r="J348" i="2"/>
  <c r="K347" i="2"/>
  <c r="J347" i="2"/>
  <c r="K346" i="2"/>
  <c r="J346" i="2"/>
  <c r="K345" i="2"/>
  <c r="J345" i="2"/>
  <c r="K344" i="2"/>
  <c r="J344" i="2"/>
  <c r="K343" i="2"/>
  <c r="J343" i="2"/>
  <c r="K342" i="2"/>
  <c r="J342" i="2"/>
  <c r="K341" i="2"/>
  <c r="J341" i="2"/>
  <c r="K340" i="2"/>
  <c r="J340" i="2"/>
  <c r="K339" i="2"/>
  <c r="J339" i="2"/>
  <c r="K338" i="2"/>
  <c r="J338" i="2"/>
  <c r="K337" i="2"/>
  <c r="J337" i="2"/>
  <c r="K336" i="2"/>
  <c r="J336" i="2"/>
  <c r="K335" i="2"/>
  <c r="J335" i="2"/>
  <c r="K334" i="2"/>
  <c r="J334" i="2"/>
  <c r="K333" i="2"/>
  <c r="J333" i="2"/>
  <c r="K332" i="2"/>
  <c r="J332" i="2"/>
  <c r="K331" i="2"/>
  <c r="J331" i="2"/>
  <c r="K330" i="2"/>
  <c r="J330" i="2"/>
  <c r="K329" i="2"/>
  <c r="J329" i="2"/>
  <c r="K328" i="2"/>
  <c r="J328" i="2"/>
  <c r="K327" i="2"/>
  <c r="J327" i="2"/>
  <c r="K326" i="2"/>
  <c r="J326" i="2"/>
  <c r="K325" i="2"/>
  <c r="J325" i="2"/>
  <c r="K324" i="2"/>
  <c r="J324" i="2"/>
  <c r="K323" i="2"/>
  <c r="J323" i="2"/>
  <c r="K322" i="2"/>
  <c r="J322" i="2"/>
  <c r="K321" i="2"/>
  <c r="J321" i="2"/>
  <c r="K320" i="2"/>
  <c r="J320" i="2"/>
  <c r="K319" i="2"/>
  <c r="J319" i="2"/>
  <c r="K318" i="2"/>
  <c r="J318" i="2"/>
  <c r="K317" i="2"/>
  <c r="J317" i="2"/>
  <c r="K316" i="2"/>
  <c r="J316" i="2"/>
  <c r="K315" i="2"/>
  <c r="J315" i="2"/>
  <c r="K314" i="2"/>
  <c r="J314" i="2"/>
  <c r="K313" i="2"/>
  <c r="J313" i="2"/>
  <c r="K312" i="2"/>
  <c r="J312" i="2"/>
  <c r="K311" i="2"/>
  <c r="J311" i="2"/>
  <c r="K310" i="2"/>
  <c r="J310" i="2"/>
  <c r="K309" i="2"/>
  <c r="J309" i="2"/>
  <c r="K308" i="2"/>
  <c r="J308" i="2"/>
  <c r="K307" i="2"/>
  <c r="J307" i="2"/>
  <c r="K306" i="2"/>
  <c r="J306" i="2"/>
  <c r="K305" i="2"/>
  <c r="J305" i="2"/>
  <c r="K304" i="2"/>
  <c r="J304" i="2"/>
  <c r="K303" i="2"/>
  <c r="J303" i="2"/>
  <c r="K302" i="2"/>
  <c r="J302" i="2"/>
  <c r="K301" i="2"/>
  <c r="J301" i="2"/>
  <c r="K300" i="2"/>
  <c r="J300" i="2"/>
  <c r="K299" i="2"/>
  <c r="J299" i="2"/>
  <c r="K298" i="2"/>
  <c r="J298" i="2"/>
  <c r="K297" i="2"/>
  <c r="J297" i="2"/>
  <c r="K296" i="2"/>
  <c r="J296" i="2"/>
  <c r="K295" i="2"/>
  <c r="J295" i="2"/>
  <c r="K294" i="2"/>
  <c r="J294" i="2"/>
  <c r="K293" i="2"/>
  <c r="J293" i="2"/>
  <c r="K292" i="2"/>
  <c r="J292" i="2"/>
  <c r="K291" i="2"/>
  <c r="J291" i="2"/>
  <c r="K290" i="2"/>
  <c r="J290" i="2"/>
  <c r="K289" i="2"/>
  <c r="J289" i="2"/>
  <c r="K288" i="2"/>
  <c r="J288" i="2"/>
  <c r="K287" i="2"/>
  <c r="J287" i="2"/>
  <c r="K286" i="2"/>
  <c r="J286" i="2"/>
  <c r="K285" i="2"/>
  <c r="J285" i="2"/>
  <c r="K284" i="2"/>
  <c r="J284" i="2"/>
  <c r="K283" i="2"/>
  <c r="J283" i="2"/>
  <c r="K282" i="2"/>
  <c r="J282" i="2"/>
  <c r="K281" i="2"/>
  <c r="J281" i="2"/>
  <c r="K280" i="2"/>
  <c r="J280" i="2"/>
  <c r="K279" i="2"/>
  <c r="J279" i="2"/>
  <c r="K278" i="2"/>
  <c r="J278" i="2"/>
  <c r="K277" i="2"/>
  <c r="J277" i="2"/>
  <c r="K276" i="2"/>
  <c r="J276" i="2"/>
  <c r="K275" i="2"/>
  <c r="J275" i="2"/>
  <c r="K274" i="2"/>
  <c r="J274" i="2"/>
  <c r="K273" i="2"/>
  <c r="J273" i="2"/>
  <c r="K272" i="2"/>
  <c r="J272" i="2"/>
  <c r="K271" i="2"/>
  <c r="J271" i="2"/>
  <c r="K270" i="2"/>
  <c r="J270" i="2"/>
  <c r="K269" i="2"/>
  <c r="J269" i="2"/>
  <c r="K268" i="2"/>
  <c r="J268" i="2"/>
  <c r="K267" i="2"/>
  <c r="J267" i="2"/>
  <c r="K266" i="2"/>
  <c r="J266" i="2"/>
  <c r="K265" i="2"/>
  <c r="J265" i="2"/>
  <c r="K264" i="2"/>
  <c r="J264" i="2"/>
  <c r="K263" i="2"/>
  <c r="J263" i="2"/>
  <c r="K262" i="2"/>
  <c r="J262" i="2"/>
  <c r="K261" i="2"/>
  <c r="J261" i="2"/>
  <c r="K260" i="2"/>
  <c r="J260" i="2"/>
  <c r="K259" i="2"/>
  <c r="J259" i="2"/>
  <c r="K258" i="2"/>
  <c r="J258" i="2"/>
  <c r="K257" i="2"/>
  <c r="J257" i="2"/>
  <c r="K256" i="2"/>
  <c r="J256" i="2"/>
  <c r="K255" i="2"/>
  <c r="J255" i="2"/>
  <c r="K254" i="2"/>
  <c r="J254" i="2"/>
  <c r="K253" i="2"/>
  <c r="J253" i="2"/>
  <c r="K252" i="2"/>
  <c r="J252" i="2"/>
  <c r="K251" i="2"/>
  <c r="J251" i="2"/>
  <c r="K250" i="2"/>
  <c r="J250" i="2"/>
  <c r="K249" i="2"/>
  <c r="J249" i="2"/>
  <c r="K248" i="2"/>
  <c r="J248" i="2"/>
  <c r="K247" i="2"/>
  <c r="J247" i="2"/>
  <c r="K246" i="2"/>
  <c r="J246" i="2"/>
  <c r="K245" i="2"/>
  <c r="J245" i="2"/>
  <c r="K244" i="2"/>
  <c r="J244" i="2"/>
  <c r="K243" i="2"/>
  <c r="J243" i="2"/>
  <c r="K242" i="2"/>
  <c r="J242" i="2"/>
  <c r="K241" i="2"/>
  <c r="J241" i="2"/>
  <c r="K240" i="2"/>
  <c r="J240" i="2"/>
  <c r="K239" i="2"/>
  <c r="J239" i="2"/>
  <c r="K238" i="2"/>
  <c r="J238" i="2"/>
  <c r="K237" i="2"/>
  <c r="J237" i="2"/>
  <c r="K236" i="2"/>
  <c r="J236" i="2"/>
  <c r="K235" i="2"/>
  <c r="J235" i="2"/>
  <c r="K234" i="2"/>
  <c r="J234" i="2"/>
  <c r="K233" i="2"/>
  <c r="J233" i="2"/>
  <c r="K232" i="2"/>
  <c r="J232" i="2"/>
  <c r="K231" i="2"/>
  <c r="J231" i="2"/>
  <c r="K230" i="2"/>
  <c r="J230" i="2"/>
  <c r="K229" i="2"/>
  <c r="J229" i="2"/>
  <c r="K228" i="2"/>
  <c r="J228" i="2"/>
  <c r="K227" i="2"/>
  <c r="J227" i="2"/>
  <c r="K226" i="2"/>
  <c r="J226" i="2"/>
  <c r="K225" i="2"/>
  <c r="J225" i="2"/>
  <c r="K224" i="2"/>
  <c r="J224" i="2"/>
  <c r="K223" i="2"/>
  <c r="J223" i="2"/>
  <c r="K222" i="2"/>
  <c r="J222" i="2"/>
  <c r="K221" i="2"/>
  <c r="J221" i="2"/>
  <c r="K220" i="2"/>
  <c r="J220" i="2"/>
  <c r="K219" i="2"/>
  <c r="J219" i="2"/>
  <c r="K218" i="2"/>
  <c r="J218" i="2"/>
  <c r="K217" i="2"/>
  <c r="J217" i="2"/>
  <c r="K216" i="2"/>
  <c r="J216" i="2"/>
  <c r="K215" i="2"/>
  <c r="J215" i="2"/>
  <c r="K214" i="2"/>
  <c r="J214" i="2"/>
  <c r="K213" i="2"/>
  <c r="J213" i="2"/>
  <c r="K212" i="2"/>
  <c r="J212" i="2"/>
  <c r="K211" i="2"/>
  <c r="J211" i="2"/>
  <c r="K210" i="2"/>
  <c r="J210" i="2"/>
  <c r="K209" i="2"/>
  <c r="J209" i="2"/>
  <c r="K208" i="2"/>
  <c r="J208" i="2"/>
  <c r="K207" i="2"/>
  <c r="J207" i="2"/>
  <c r="K206" i="2"/>
  <c r="J206" i="2"/>
  <c r="K205" i="2"/>
  <c r="J205" i="2"/>
  <c r="K204" i="2"/>
  <c r="J204" i="2"/>
  <c r="K203" i="2"/>
  <c r="J203" i="2"/>
  <c r="K202" i="2"/>
  <c r="J202" i="2"/>
  <c r="K201" i="2"/>
  <c r="J201" i="2"/>
  <c r="K200" i="2"/>
  <c r="J200" i="2"/>
  <c r="K199" i="2"/>
  <c r="J199" i="2"/>
  <c r="K198" i="2"/>
  <c r="J198" i="2"/>
  <c r="K197" i="2"/>
  <c r="J197" i="2"/>
  <c r="K196" i="2"/>
  <c r="J196" i="2"/>
  <c r="K195" i="2"/>
  <c r="J195" i="2"/>
  <c r="K194" i="2"/>
  <c r="J194" i="2"/>
  <c r="K193" i="2"/>
  <c r="J193" i="2"/>
  <c r="K192" i="2"/>
  <c r="J192" i="2"/>
  <c r="K191" i="2"/>
  <c r="J191" i="2"/>
  <c r="K190" i="2"/>
  <c r="J190" i="2"/>
  <c r="K189" i="2"/>
  <c r="J189" i="2"/>
  <c r="K188" i="2"/>
  <c r="J188" i="2"/>
  <c r="K187" i="2"/>
  <c r="J187" i="2"/>
  <c r="K186" i="2"/>
  <c r="J186" i="2"/>
  <c r="K185" i="2"/>
  <c r="J185" i="2"/>
  <c r="K184" i="2"/>
  <c r="J184" i="2"/>
  <c r="K183" i="2"/>
  <c r="J183" i="2"/>
  <c r="K182" i="2"/>
  <c r="J182" i="2"/>
  <c r="K181" i="2"/>
  <c r="J181" i="2"/>
  <c r="K180" i="2"/>
  <c r="J180" i="2"/>
  <c r="K179" i="2"/>
  <c r="J179" i="2"/>
  <c r="K178" i="2"/>
  <c r="J178" i="2"/>
  <c r="K177" i="2"/>
  <c r="J177" i="2"/>
  <c r="K176" i="2"/>
  <c r="J176" i="2"/>
  <c r="K175" i="2"/>
  <c r="J175" i="2"/>
  <c r="K174" i="2"/>
  <c r="J174" i="2"/>
  <c r="K173" i="2"/>
  <c r="J173" i="2"/>
  <c r="K172" i="2"/>
  <c r="J172" i="2"/>
  <c r="K171" i="2"/>
  <c r="J171" i="2"/>
  <c r="K170" i="2"/>
  <c r="J170" i="2"/>
  <c r="K169" i="2"/>
  <c r="J169" i="2"/>
  <c r="K168" i="2"/>
  <c r="J168" i="2"/>
  <c r="K167" i="2"/>
  <c r="J167" i="2"/>
  <c r="K166" i="2"/>
  <c r="J166" i="2"/>
  <c r="K165" i="2"/>
  <c r="J165" i="2"/>
  <c r="K164" i="2"/>
  <c r="J164" i="2"/>
  <c r="K163" i="2"/>
  <c r="J163" i="2"/>
  <c r="K162" i="2"/>
  <c r="J162" i="2"/>
  <c r="K161" i="2"/>
  <c r="J161" i="2"/>
  <c r="K160" i="2"/>
  <c r="J160" i="2"/>
  <c r="K159" i="2"/>
  <c r="J159" i="2"/>
  <c r="K158" i="2"/>
  <c r="J158" i="2"/>
  <c r="K157" i="2"/>
  <c r="J157" i="2"/>
  <c r="K156" i="2"/>
  <c r="J156" i="2"/>
  <c r="K155" i="2"/>
  <c r="J155" i="2"/>
  <c r="K154" i="2"/>
  <c r="J154" i="2"/>
  <c r="K153" i="2"/>
  <c r="J153" i="2"/>
  <c r="K152" i="2"/>
  <c r="J152" i="2"/>
  <c r="K151" i="2"/>
  <c r="J151" i="2"/>
  <c r="K150" i="2"/>
  <c r="J150" i="2"/>
  <c r="K149" i="2"/>
  <c r="J149" i="2"/>
  <c r="K148" i="2"/>
  <c r="J148" i="2"/>
  <c r="K147" i="2"/>
  <c r="J147" i="2"/>
  <c r="K146" i="2"/>
  <c r="J146" i="2"/>
  <c r="K145" i="2"/>
  <c r="J145" i="2"/>
  <c r="K144" i="2"/>
  <c r="J144" i="2"/>
  <c r="K143" i="2"/>
  <c r="J143" i="2"/>
  <c r="K142" i="2"/>
  <c r="J142" i="2"/>
  <c r="K141" i="2"/>
  <c r="J141" i="2"/>
  <c r="K140" i="2"/>
  <c r="J140" i="2"/>
  <c r="K139" i="2"/>
  <c r="J139" i="2"/>
  <c r="K138" i="2"/>
  <c r="J138" i="2"/>
  <c r="K137" i="2"/>
  <c r="J137" i="2"/>
  <c r="K136" i="2"/>
  <c r="J136" i="2"/>
  <c r="K135" i="2"/>
  <c r="J135" i="2"/>
  <c r="K134" i="2"/>
  <c r="J134" i="2"/>
  <c r="K133" i="2"/>
  <c r="J133" i="2"/>
  <c r="K132" i="2"/>
  <c r="J132" i="2"/>
  <c r="K131" i="2"/>
  <c r="J131" i="2"/>
  <c r="K130" i="2"/>
  <c r="J130" i="2"/>
  <c r="K129" i="2"/>
  <c r="J129" i="2"/>
  <c r="K128" i="2"/>
  <c r="J128" i="2"/>
  <c r="K127" i="2"/>
  <c r="J127" i="2"/>
  <c r="K126" i="2"/>
  <c r="J126" i="2"/>
  <c r="K125" i="2"/>
  <c r="J125" i="2"/>
  <c r="K124" i="2"/>
  <c r="J124" i="2"/>
  <c r="K123" i="2"/>
  <c r="J123" i="2"/>
  <c r="K122" i="2"/>
  <c r="J122" i="2"/>
  <c r="K121" i="2"/>
  <c r="J121" i="2"/>
  <c r="K120" i="2"/>
  <c r="J120" i="2"/>
  <c r="K119" i="2"/>
  <c r="J119" i="2"/>
  <c r="K118" i="2"/>
  <c r="J118" i="2"/>
  <c r="K117" i="2"/>
  <c r="J117" i="2"/>
  <c r="K116" i="2"/>
  <c r="J116" i="2"/>
  <c r="K115" i="2"/>
  <c r="J115" i="2"/>
  <c r="K114" i="2"/>
  <c r="J114" i="2"/>
  <c r="K113" i="2"/>
  <c r="J113" i="2"/>
  <c r="K112" i="2"/>
  <c r="J112" i="2"/>
  <c r="K111" i="2"/>
  <c r="J111" i="2"/>
  <c r="K110" i="2"/>
  <c r="J110" i="2"/>
  <c r="K109" i="2"/>
  <c r="J109" i="2"/>
  <c r="K108" i="2"/>
  <c r="J108" i="2"/>
  <c r="K107" i="2"/>
  <c r="J107" i="2"/>
  <c r="K106" i="2"/>
  <c r="J106" i="2"/>
  <c r="K105" i="2"/>
  <c r="J105" i="2"/>
  <c r="K104" i="2"/>
  <c r="J104" i="2"/>
  <c r="K103" i="2"/>
  <c r="J103" i="2"/>
  <c r="K102" i="2"/>
  <c r="J102" i="2"/>
  <c r="K101" i="2"/>
  <c r="J101" i="2"/>
  <c r="K100" i="2"/>
  <c r="J100" i="2"/>
  <c r="K99" i="2"/>
  <c r="J99" i="2"/>
  <c r="K98" i="2"/>
  <c r="J98" i="2"/>
  <c r="K97" i="2"/>
  <c r="J97" i="2"/>
  <c r="K96" i="2"/>
  <c r="J96" i="2"/>
  <c r="K95" i="2"/>
  <c r="J95" i="2"/>
  <c r="K94" i="2"/>
  <c r="J94" i="2"/>
  <c r="K93" i="2"/>
  <c r="J93" i="2"/>
  <c r="K92" i="2"/>
  <c r="J92" i="2"/>
  <c r="K91" i="2"/>
  <c r="J91" i="2"/>
  <c r="K90" i="2"/>
  <c r="J90" i="2"/>
  <c r="K89" i="2"/>
  <c r="J89" i="2"/>
  <c r="K88" i="2"/>
  <c r="J88" i="2"/>
  <c r="K87" i="2"/>
  <c r="J87" i="2"/>
  <c r="K86" i="2"/>
  <c r="J86" i="2"/>
  <c r="K85" i="2"/>
  <c r="J85" i="2"/>
  <c r="K84" i="2"/>
  <c r="J84" i="2"/>
  <c r="K83" i="2"/>
  <c r="J83" i="2"/>
  <c r="K82" i="2"/>
  <c r="J82" i="2"/>
  <c r="K81" i="2"/>
  <c r="J81" i="2"/>
  <c r="K80" i="2"/>
  <c r="J80" i="2"/>
  <c r="K79" i="2"/>
  <c r="J79" i="2"/>
  <c r="K78" i="2"/>
  <c r="J78" i="2"/>
  <c r="K77" i="2"/>
  <c r="J77" i="2"/>
  <c r="K76" i="2"/>
  <c r="J76" i="2"/>
  <c r="K75" i="2"/>
  <c r="J75" i="2"/>
  <c r="K74" i="2"/>
  <c r="J74" i="2"/>
  <c r="K73" i="2"/>
  <c r="J73" i="2"/>
  <c r="K72" i="2"/>
  <c r="J72" i="2"/>
  <c r="K71" i="2"/>
  <c r="J71" i="2"/>
  <c r="K70" i="2"/>
  <c r="J70" i="2"/>
  <c r="K69" i="2"/>
  <c r="J69" i="2"/>
  <c r="K68" i="2"/>
  <c r="J68" i="2"/>
  <c r="K67" i="2"/>
  <c r="J67" i="2"/>
  <c r="K66" i="2"/>
  <c r="J66" i="2"/>
  <c r="K65" i="2"/>
  <c r="J65" i="2"/>
  <c r="K64" i="2"/>
  <c r="J64" i="2"/>
  <c r="K63" i="2"/>
  <c r="J63" i="2"/>
  <c r="K62" i="2"/>
  <c r="J62" i="2"/>
  <c r="K61" i="2"/>
  <c r="J61" i="2"/>
  <c r="K60" i="2"/>
  <c r="J60" i="2"/>
  <c r="K59" i="2"/>
  <c r="J59" i="2"/>
  <c r="K58" i="2"/>
  <c r="J58" i="2"/>
  <c r="K57" i="2"/>
  <c r="J57" i="2"/>
  <c r="K56" i="2"/>
  <c r="J56" i="2"/>
  <c r="K55" i="2"/>
  <c r="J55" i="2"/>
  <c r="K54" i="2"/>
  <c r="J54" i="2"/>
  <c r="K53" i="2"/>
  <c r="J53" i="2"/>
  <c r="K52" i="2"/>
  <c r="J52" i="2"/>
  <c r="K51" i="2"/>
  <c r="J51" i="2"/>
  <c r="K50" i="2"/>
  <c r="J50" i="2"/>
  <c r="K49" i="2"/>
  <c r="J49" i="2"/>
  <c r="K48" i="2"/>
  <c r="J48" i="2"/>
  <c r="K47" i="2"/>
  <c r="J47" i="2"/>
  <c r="K46" i="2"/>
  <c r="J46" i="2"/>
  <c r="K45" i="2"/>
  <c r="J45" i="2"/>
  <c r="K44" i="2"/>
  <c r="J44" i="2"/>
  <c r="K43" i="2"/>
  <c r="J43" i="2"/>
  <c r="K42" i="2"/>
  <c r="J42" i="2"/>
  <c r="K41" i="2"/>
  <c r="J41" i="2"/>
  <c r="K40" i="2"/>
  <c r="J40" i="2"/>
  <c r="K39" i="2"/>
  <c r="J39" i="2"/>
  <c r="K38" i="2"/>
  <c r="J38" i="2"/>
  <c r="K37" i="2"/>
  <c r="J37" i="2"/>
  <c r="K36" i="2"/>
  <c r="J36" i="2"/>
  <c r="K35" i="2"/>
  <c r="J35" i="2"/>
  <c r="K34" i="2"/>
  <c r="J34" i="2"/>
  <c r="K33" i="2"/>
  <c r="J33" i="2"/>
  <c r="K32" i="2"/>
  <c r="J32" i="2"/>
  <c r="K31" i="2"/>
  <c r="J31" i="2"/>
  <c r="K30" i="2"/>
  <c r="J30" i="2"/>
  <c r="K29" i="2"/>
  <c r="J29" i="2"/>
  <c r="K28" i="2"/>
  <c r="J28" i="2"/>
  <c r="K27" i="2"/>
  <c r="J27" i="2"/>
  <c r="K26" i="2"/>
  <c r="J26" i="2"/>
  <c r="K25" i="2"/>
  <c r="J25" i="2"/>
  <c r="K24" i="2"/>
  <c r="J24" i="2"/>
  <c r="K23" i="2"/>
  <c r="J23" i="2"/>
  <c r="K22" i="2"/>
  <c r="J22" i="2"/>
  <c r="K21" i="2"/>
  <c r="J21" i="2"/>
  <c r="K20" i="2"/>
  <c r="J20" i="2"/>
  <c r="K19" i="2"/>
  <c r="J19" i="2"/>
  <c r="K18" i="2"/>
  <c r="J18" i="2"/>
  <c r="K17" i="2"/>
  <c r="J17" i="2"/>
  <c r="K16" i="2"/>
  <c r="J16" i="2"/>
  <c r="K15" i="2"/>
  <c r="J15" i="2"/>
  <c r="K14" i="2"/>
  <c r="J14" i="2"/>
  <c r="K13" i="2"/>
  <c r="J13" i="2"/>
  <c r="K12" i="2"/>
  <c r="J12" i="2"/>
  <c r="K11" i="2"/>
  <c r="J11" i="2"/>
  <c r="K10" i="2"/>
  <c r="J10" i="2"/>
  <c r="K9" i="2"/>
  <c r="J9" i="2"/>
  <c r="K8" i="2"/>
  <c r="J8" i="2"/>
  <c r="K7" i="2"/>
  <c r="J7" i="2"/>
  <c r="K6" i="2"/>
  <c r="J6" i="2"/>
  <c r="K5" i="2"/>
  <c r="J5" i="2"/>
  <c r="K4" i="2"/>
  <c r="J4" i="2"/>
  <c r="K3" i="2"/>
  <c r="J3" i="2"/>
  <c r="K2" i="2"/>
  <c r="J2" i="2"/>
</calcChain>
</file>

<file path=xl/sharedStrings.xml><?xml version="1.0" encoding="utf-8"?>
<sst xmlns="http://schemas.openxmlformats.org/spreadsheetml/2006/main" count="2885" uniqueCount="130">
  <si>
    <t>Year</t>
  </si>
  <si>
    <t>Host Country</t>
  </si>
  <si>
    <t>Winner</t>
  </si>
  <si>
    <t>Runners-Up</t>
  </si>
  <si>
    <t>Third</t>
  </si>
  <si>
    <t>Goals Scored</t>
  </si>
  <si>
    <t>Qualified Teams</t>
  </si>
  <si>
    <t>Matches Played</t>
  </si>
  <si>
    <t>Uruguay</t>
  </si>
  <si>
    <t>Argentina</t>
  </si>
  <si>
    <t>USA</t>
  </si>
  <si>
    <t>Italy</t>
  </si>
  <si>
    <t>Czechoslovakia</t>
  </si>
  <si>
    <t>Germany</t>
  </si>
  <si>
    <t>France</t>
  </si>
  <si>
    <t>Hungary</t>
  </si>
  <si>
    <t>Brazil</t>
  </si>
  <si>
    <t>Sweden</t>
  </si>
  <si>
    <t>Switzerland</t>
  </si>
  <si>
    <t>Germany FR</t>
  </si>
  <si>
    <t>Austria</t>
  </si>
  <si>
    <t>Chile</t>
  </si>
  <si>
    <t>England</t>
  </si>
  <si>
    <t>Portugal</t>
  </si>
  <si>
    <t>Mexico</t>
  </si>
  <si>
    <t>Netherlands</t>
  </si>
  <si>
    <t>Poland</t>
  </si>
  <si>
    <t>Spain</t>
  </si>
  <si>
    <t>Croatia</t>
  </si>
  <si>
    <t>Korea/Japan</t>
  </si>
  <si>
    <t>Turkey</t>
  </si>
  <si>
    <t>South Africa</t>
  </si>
  <si>
    <t>Russia</t>
  </si>
  <si>
    <t>Belgium</t>
  </si>
  <si>
    <t>Qatar</t>
  </si>
  <si>
    <t>ID</t>
  </si>
  <si>
    <t>Date</t>
  </si>
  <si>
    <t>Stage</t>
  </si>
  <si>
    <t>Home Team</t>
  </si>
  <si>
    <t>Home Goals</t>
  </si>
  <si>
    <t>Away Goals</t>
  </si>
  <si>
    <t>Away Team</t>
  </si>
  <si>
    <t>Host Team</t>
  </si>
  <si>
    <t>Total Goals</t>
  </si>
  <si>
    <t>Match Result</t>
  </si>
  <si>
    <t>Group stage</t>
  </si>
  <si>
    <t>United States</t>
  </si>
  <si>
    <t>Yugoslavia</t>
  </si>
  <si>
    <t>Romania</t>
  </si>
  <si>
    <t>Peru</t>
  </si>
  <si>
    <t>Bolivia</t>
  </si>
  <si>
    <t>Paraguay</t>
  </si>
  <si>
    <t>Semi-finals</t>
  </si>
  <si>
    <t>Final</t>
  </si>
  <si>
    <t>Round of 16</t>
  </si>
  <si>
    <t>Egypt</t>
  </si>
  <si>
    <t>Quarter-finals</t>
  </si>
  <si>
    <t>Third place</t>
  </si>
  <si>
    <t>Indonesia</t>
  </si>
  <si>
    <t>Cuba</t>
  </si>
  <si>
    <t>Norway</t>
  </si>
  <si>
    <t>First round</t>
  </si>
  <si>
    <t>Final round</t>
  </si>
  <si>
    <t>Scotland</t>
  </si>
  <si>
    <t>South Korea</t>
  </si>
  <si>
    <t>Wales</t>
  </si>
  <si>
    <t>Northern Ireland</t>
  </si>
  <si>
    <t>Colombia</t>
  </si>
  <si>
    <t>Bulgaria</t>
  </si>
  <si>
    <t>North Korea</t>
  </si>
  <si>
    <t>Israel</t>
  </si>
  <si>
    <t>Morocco</t>
  </si>
  <si>
    <t>El Salvador</t>
  </si>
  <si>
    <t>First group stage</t>
  </si>
  <si>
    <t>East Germany</t>
  </si>
  <si>
    <t>Australia</t>
  </si>
  <si>
    <t>DR Congo</t>
  </si>
  <si>
    <t>Haiti</t>
  </si>
  <si>
    <t>Second group stage</t>
  </si>
  <si>
    <t>Tunisia</t>
  </si>
  <si>
    <t>Iran</t>
  </si>
  <si>
    <t>Cameroon</t>
  </si>
  <si>
    <t>New Zealand</t>
  </si>
  <si>
    <t>Algeria</t>
  </si>
  <si>
    <t>Honduras</t>
  </si>
  <si>
    <t>Kuwait</t>
  </si>
  <si>
    <t>Canada</t>
  </si>
  <si>
    <t>Iraq</t>
  </si>
  <si>
    <t>Denmark</t>
  </si>
  <si>
    <t>United Arab Emirates</t>
  </si>
  <si>
    <t>Costa Rica</t>
  </si>
  <si>
    <t>Republic of Ireland</t>
  </si>
  <si>
    <t>Saudi Arabia</t>
  </si>
  <si>
    <t>Greece</t>
  </si>
  <si>
    <t>Nigeria</t>
  </si>
  <si>
    <t>Japan</t>
  </si>
  <si>
    <t>Jamaica</t>
  </si>
  <si>
    <t>Senegal</t>
  </si>
  <si>
    <t>Slovenia</t>
  </si>
  <si>
    <t>Ecuador</t>
  </si>
  <si>
    <t>China</t>
  </si>
  <si>
    <t>Trinidad and Tobago</t>
  </si>
  <si>
    <t>Ivory Coast</t>
  </si>
  <si>
    <t>Serbia</t>
  </si>
  <si>
    <t>Angola</t>
  </si>
  <si>
    <t>Czech Republic</t>
  </si>
  <si>
    <t>Ghana</t>
  </si>
  <si>
    <t>Togo</t>
  </si>
  <si>
    <t>Ukraine</t>
  </si>
  <si>
    <t>Slovakia</t>
  </si>
  <si>
    <t>Bosnia and Herzegovina</t>
  </si>
  <si>
    <t>Iceland</t>
  </si>
  <si>
    <t>Panama</t>
  </si>
  <si>
    <t>Row Labels</t>
  </si>
  <si>
    <t>Grand Total</t>
  </si>
  <si>
    <t>Count of Year</t>
  </si>
  <si>
    <t>Sum of Goals Scored</t>
  </si>
  <si>
    <t>Sum of Matches Played</t>
  </si>
  <si>
    <t>Total Tournments</t>
  </si>
  <si>
    <t>Average Goals</t>
  </si>
  <si>
    <t>Count of Winner</t>
  </si>
  <si>
    <t>Total Matches</t>
  </si>
  <si>
    <t>Sum of Total Goals</t>
  </si>
  <si>
    <t>Average of Total Goals</t>
  </si>
  <si>
    <t>Count of Match Result</t>
  </si>
  <si>
    <t>Away Win</t>
  </si>
  <si>
    <t>Draw</t>
  </si>
  <si>
    <t>Home Win</t>
  </si>
  <si>
    <t>Count of ID</t>
  </si>
  <si>
    <t>FIFA World Cup Analysis Dashboard (1930–2022)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</si>
</sst>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8"/>
      <color theme="1"/>
      <name val="Calibri"/>
      <family val="2"/>
      <scheme val="minor"/>
    </font>
    <font>
      <b/>
      <sz val="12"/>
      <color theme="1"/>
      <name val="Calibri"/>
      <family val="2"/>
      <scheme val="minor"/>
    </font>
    <font>
      <b/>
      <sz val="34"/>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theme="6" tint="0.79998168889431442"/>
        <bgColor theme="4" tint="0.79998168889431442"/>
      </patternFill>
    </fill>
    <fill>
      <patternFill patternType="solid">
        <fgColor theme="7" tint="0.79998168889431442"/>
        <bgColor indexed="64"/>
      </patternFill>
    </fill>
    <fill>
      <patternFill patternType="solid">
        <fgColor theme="6" tint="-0.249977111117893"/>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style="medium">
        <color indexed="64"/>
      </right>
      <top style="medium">
        <color indexed="64"/>
      </top>
      <bottom style="thin">
        <color theme="4" tint="0.3999755851924192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2" fontId="0" fillId="0" borderId="0" xfId="0" applyNumberFormat="1"/>
    <xf numFmtId="1" fontId="0" fillId="0" borderId="0" xfId="0" applyNumberFormat="1"/>
    <xf numFmtId="0" fontId="19" fillId="35" borderId="11" xfId="0" applyFont="1" applyFill="1" applyBorder="1" applyAlignment="1">
      <alignment horizontal="center"/>
    </xf>
    <xf numFmtId="0" fontId="19" fillId="34" borderId="14" xfId="0" applyFont="1" applyFill="1" applyBorder="1" applyAlignment="1">
      <alignment horizontal="center"/>
    </xf>
    <xf numFmtId="0" fontId="19" fillId="34" borderId="12" xfId="0" applyFont="1" applyFill="1" applyBorder="1" applyAlignment="1">
      <alignment horizontal="center"/>
    </xf>
    <xf numFmtId="2" fontId="19" fillId="34" borderId="12" xfId="0" applyNumberFormat="1" applyFont="1" applyFill="1" applyBorder="1" applyAlignment="1">
      <alignment horizontal="center"/>
    </xf>
    <xf numFmtId="0" fontId="19" fillId="34" borderId="13" xfId="0" applyFont="1" applyFill="1" applyBorder="1" applyAlignment="1">
      <alignment horizontal="center"/>
    </xf>
    <xf numFmtId="0" fontId="0" fillId="36" borderId="0" xfId="0" applyFill="1"/>
    <xf numFmtId="0" fontId="20" fillId="37" borderId="15" xfId="0" applyFont="1" applyFill="1" applyBorder="1" applyAlignment="1">
      <alignment horizontal="center"/>
    </xf>
    <xf numFmtId="0" fontId="18" fillId="37" borderId="16" xfId="0" applyFont="1" applyFill="1" applyBorder="1" applyAlignment="1">
      <alignment horizontal="center"/>
    </xf>
    <xf numFmtId="0" fontId="18" fillId="37" borderId="17" xfId="0" applyFont="1" applyFill="1" applyBorder="1" applyAlignment="1">
      <alignment horizontal="center"/>
    </xf>
    <xf numFmtId="0" fontId="18" fillId="37" borderId="18" xfId="0" applyFont="1" applyFill="1" applyBorder="1" applyAlignment="1">
      <alignment horizontal="center"/>
    </xf>
    <xf numFmtId="0" fontId="18" fillId="37" borderId="0" xfId="0" applyFont="1" applyFill="1" applyAlignment="1">
      <alignment horizontal="center"/>
    </xf>
    <xf numFmtId="0" fontId="18" fillId="37" borderId="19" xfId="0" applyFont="1" applyFill="1" applyBorder="1" applyAlignment="1">
      <alignment horizontal="center"/>
    </xf>
    <xf numFmtId="0" fontId="18" fillId="37" borderId="20" xfId="0" applyFont="1" applyFill="1" applyBorder="1" applyAlignment="1">
      <alignment horizontal="center"/>
    </xf>
    <xf numFmtId="0" fontId="18" fillId="37" borderId="21" xfId="0" applyFont="1" applyFill="1" applyBorder="1" applyAlignment="1">
      <alignment horizontal="center"/>
    </xf>
    <xf numFmtId="0" fontId="18" fillId="37" borderId="2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8">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font>
        <b/>
      </font>
    </dxf>
    <dxf>
      <font>
        <b/>
      </font>
    </dxf>
    <dxf>
      <font>
        <b/>
      </fon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dxf>
    <dxf>
      <alignment horizontal="center"/>
    </dxf>
    <dxf>
      <alignment horizontal="center"/>
    </dxf>
    <dxf>
      <font>
        <b/>
      </font>
    </dxf>
    <dxf>
      <font>
        <b/>
      </font>
    </dxf>
    <dxf>
      <font>
        <b/>
      </font>
    </dxf>
    <dxf>
      <numFmt numFmtId="2"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border>
        <left/>
        <right/>
        <top/>
        <bottom/>
      </border>
    </dxf>
    <dxf>
      <border>
        <left/>
        <right/>
        <top/>
        <bottom/>
      </border>
    </dxf>
    <dxf>
      <border>
        <left/>
        <right/>
        <top/>
        <bottom/>
      </border>
    </dxf>
    <dxf>
      <alignment horizontal="center"/>
    </dxf>
    <dxf>
      <alignment horizontal="center"/>
    </dxf>
    <dxf>
      <alignment horizontal="center"/>
    </dxf>
    <dxf>
      <font>
        <b/>
      </font>
    </dxf>
    <dxf>
      <font>
        <b/>
      </font>
    </dxf>
    <dxf>
      <font>
        <b/>
      </fon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font>
        <sz val="12"/>
      </font>
    </dxf>
    <dxf>
      <font>
        <sz val="12"/>
      </font>
    </dxf>
    <dxf>
      <font>
        <sz val="12"/>
      </fon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font>
        <b/>
      </font>
    </dxf>
    <dxf>
      <font>
        <b/>
      </font>
    </dxf>
    <dxf>
      <font>
        <b/>
      </font>
    </dxf>
    <dxf>
      <border>
        <left/>
        <right/>
        <top/>
        <bottom/>
      </border>
    </dxf>
    <dxf>
      <border>
        <left/>
        <right/>
        <top/>
        <bottom/>
      </border>
    </dxf>
    <dxf>
      <border>
        <left/>
        <right/>
        <top/>
        <bottom/>
      </border>
    </dxf>
    <dxf>
      <font>
        <sz val="12"/>
      </font>
    </dxf>
    <dxf>
      <font>
        <sz val="12"/>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2"/>
      </font>
    </dxf>
    <dxf>
      <font>
        <sz val="12"/>
      </font>
    </dxf>
    <dxf>
      <alignment horizontal="center"/>
    </dxf>
    <dxf>
      <alignment horizontal="center"/>
    </dxf>
    <dxf>
      <alignment horizontal="center"/>
    </dxf>
    <dxf>
      <font>
        <b/>
      </font>
    </dxf>
    <dxf>
      <font>
        <b/>
      </font>
    </dxf>
    <dxf>
      <font>
        <b/>
      </font>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Goals Trend by Year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- 1'!$B$3</c:f>
              <c:strCache>
                <c:ptCount val="1"/>
                <c:pt idx="0">
                  <c:v>Total</c:v>
                </c:pt>
              </c:strCache>
            </c:strRef>
          </c:tx>
          <c:spPr>
            <a:ln w="28575" cap="rnd">
              <a:solidFill>
                <a:schemeClr val="accent1"/>
              </a:solidFill>
              <a:round/>
            </a:ln>
            <a:effectLst/>
          </c:spPr>
          <c:marker>
            <c:symbol val="none"/>
          </c:marker>
          <c:cat>
            <c:strRef>
              <c:f>'KPI - 1'!$A$4:$A$13</c:f>
              <c:strCache>
                <c:ptCount val="9"/>
                <c:pt idx="0">
                  <c:v>Argentina</c:v>
                </c:pt>
                <c:pt idx="1">
                  <c:v>Brazil</c:v>
                </c:pt>
                <c:pt idx="2">
                  <c:v>England</c:v>
                </c:pt>
                <c:pt idx="3">
                  <c:v>France</c:v>
                </c:pt>
                <c:pt idx="4">
                  <c:v>Germany</c:v>
                </c:pt>
                <c:pt idx="5">
                  <c:v>Germany FR</c:v>
                </c:pt>
                <c:pt idx="6">
                  <c:v>Italy</c:v>
                </c:pt>
                <c:pt idx="7">
                  <c:v>Spain</c:v>
                </c:pt>
                <c:pt idx="8">
                  <c:v>Uruguay</c:v>
                </c:pt>
              </c:strCache>
            </c:strRef>
          </c:cat>
          <c:val>
            <c:numRef>
              <c:f>'KPI - 1'!$B$4:$B$13</c:f>
              <c:numCache>
                <c:formatCode>0</c:formatCode>
                <c:ptCount val="9"/>
                <c:pt idx="0">
                  <c:v>3</c:v>
                </c:pt>
                <c:pt idx="1">
                  <c:v>5</c:v>
                </c:pt>
                <c:pt idx="2">
                  <c:v>1</c:v>
                </c:pt>
                <c:pt idx="3">
                  <c:v>2</c:v>
                </c:pt>
                <c:pt idx="4">
                  <c:v>1</c:v>
                </c:pt>
                <c:pt idx="5">
                  <c:v>3</c:v>
                </c:pt>
                <c:pt idx="6">
                  <c:v>4</c:v>
                </c:pt>
                <c:pt idx="7">
                  <c:v>1</c:v>
                </c:pt>
                <c:pt idx="8">
                  <c:v>2</c:v>
                </c:pt>
              </c:numCache>
            </c:numRef>
          </c:val>
          <c:smooth val="0"/>
          <c:extLst>
            <c:ext xmlns:c16="http://schemas.microsoft.com/office/drawing/2014/chart" uri="{C3380CC4-5D6E-409C-BE32-E72D297353CC}">
              <c16:uniqueId val="{00000003-0CD8-4602-A60E-DFCBD8891DC0}"/>
            </c:ext>
          </c:extLst>
        </c:ser>
        <c:dLbls>
          <c:showLegendKey val="0"/>
          <c:showVal val="0"/>
          <c:showCatName val="0"/>
          <c:showSerName val="0"/>
          <c:showPercent val="0"/>
          <c:showBubbleSize val="0"/>
        </c:dLbls>
        <c:smooth val="0"/>
        <c:axId val="1071559967"/>
        <c:axId val="1071560447"/>
      </c:lineChart>
      <c:catAx>
        <c:axId val="107155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60447"/>
        <c:crosses val="autoZero"/>
        <c:auto val="1"/>
        <c:lblAlgn val="ctr"/>
        <c:lblOffset val="100"/>
        <c:noMultiLvlLbl val="0"/>
      </c:catAx>
      <c:valAx>
        <c:axId val="10715604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59967"/>
        <c:crosses val="autoZero"/>
        <c:crossBetween val="between"/>
      </c:valAx>
      <c:spPr>
        <a:noFill/>
        <a:ln>
          <a:noFill/>
        </a:ln>
        <a:effectLst/>
      </c:spPr>
    </c:plotArea>
    <c:legend>
      <c:legendPos val="r"/>
      <c:layout>
        <c:manualLayout>
          <c:xMode val="edge"/>
          <c:yMode val="edge"/>
          <c:x val="0.84757962232953921"/>
          <c:y val="4.7671251394004931E-2"/>
          <c:w val="0.1242513635859538"/>
          <c:h val="7.2425399614747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- 1!PivotTable1</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Top Winning Countries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- 1'!$B$3</c:f>
              <c:strCache>
                <c:ptCount val="1"/>
                <c:pt idx="0">
                  <c:v>Total</c:v>
                </c:pt>
              </c:strCache>
            </c:strRef>
          </c:tx>
          <c:spPr>
            <a:solidFill>
              <a:schemeClr val="accent1"/>
            </a:solidFill>
            <a:ln>
              <a:noFill/>
            </a:ln>
            <a:effectLst/>
          </c:spPr>
          <c:invertIfNegative val="0"/>
          <c:cat>
            <c:strRef>
              <c:f>'KPI - 1'!$A$4:$A$13</c:f>
              <c:strCache>
                <c:ptCount val="9"/>
                <c:pt idx="0">
                  <c:v>Argentina</c:v>
                </c:pt>
                <c:pt idx="1">
                  <c:v>Brazil</c:v>
                </c:pt>
                <c:pt idx="2">
                  <c:v>England</c:v>
                </c:pt>
                <c:pt idx="3">
                  <c:v>France</c:v>
                </c:pt>
                <c:pt idx="4">
                  <c:v>Germany</c:v>
                </c:pt>
                <c:pt idx="5">
                  <c:v>Germany FR</c:v>
                </c:pt>
                <c:pt idx="6">
                  <c:v>Italy</c:v>
                </c:pt>
                <c:pt idx="7">
                  <c:v>Spain</c:v>
                </c:pt>
                <c:pt idx="8">
                  <c:v>Uruguay</c:v>
                </c:pt>
              </c:strCache>
            </c:strRef>
          </c:cat>
          <c:val>
            <c:numRef>
              <c:f>'KPI - 1'!$B$4:$B$13</c:f>
              <c:numCache>
                <c:formatCode>0</c:formatCode>
                <c:ptCount val="9"/>
                <c:pt idx="0">
                  <c:v>3</c:v>
                </c:pt>
                <c:pt idx="1">
                  <c:v>5</c:v>
                </c:pt>
                <c:pt idx="2">
                  <c:v>1</c:v>
                </c:pt>
                <c:pt idx="3">
                  <c:v>2</c:v>
                </c:pt>
                <c:pt idx="4">
                  <c:v>1</c:v>
                </c:pt>
                <c:pt idx="5">
                  <c:v>3</c:v>
                </c:pt>
                <c:pt idx="6">
                  <c:v>4</c:v>
                </c:pt>
                <c:pt idx="7">
                  <c:v>1</c:v>
                </c:pt>
                <c:pt idx="8">
                  <c:v>2</c:v>
                </c:pt>
              </c:numCache>
            </c:numRef>
          </c:val>
          <c:extLst>
            <c:ext xmlns:c16="http://schemas.microsoft.com/office/drawing/2014/chart" uri="{C3380CC4-5D6E-409C-BE32-E72D297353CC}">
              <c16:uniqueId val="{00000002-1832-4F9F-8BE8-E8F45D79DE84}"/>
            </c:ext>
          </c:extLst>
        </c:ser>
        <c:dLbls>
          <c:showLegendKey val="0"/>
          <c:showVal val="0"/>
          <c:showCatName val="0"/>
          <c:showSerName val="0"/>
          <c:showPercent val="0"/>
          <c:showBubbleSize val="0"/>
        </c:dLbls>
        <c:gapWidth val="150"/>
        <c:axId val="1293790847"/>
        <c:axId val="1293795167"/>
      </c:barChart>
      <c:catAx>
        <c:axId val="129379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95167"/>
        <c:crosses val="autoZero"/>
        <c:auto val="1"/>
        <c:lblAlgn val="ctr"/>
        <c:lblOffset val="100"/>
        <c:noMultiLvlLbl val="0"/>
      </c:catAx>
      <c:valAx>
        <c:axId val="1293795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9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- 2!PivotTable8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Match Results Breakdown</a:t>
            </a:r>
            <a:endParaRPr lang="en-IN" b="1"/>
          </a:p>
        </c:rich>
      </c:tx>
      <c:layout>
        <c:manualLayout>
          <c:xMode val="edge"/>
          <c:yMode val="edge"/>
          <c:x val="0.2818193350831146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 - 2'!$B$3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E7-465D-A9B8-445F07EC33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E7-465D-A9B8-445F07EC33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E7-465D-A9B8-445F07EC33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- 2'!$A$4:$A$7</c:f>
              <c:strCache>
                <c:ptCount val="3"/>
                <c:pt idx="0">
                  <c:v>Away Win</c:v>
                </c:pt>
                <c:pt idx="1">
                  <c:v>Draw</c:v>
                </c:pt>
                <c:pt idx="2">
                  <c:v>Home Win</c:v>
                </c:pt>
              </c:strCache>
            </c:strRef>
          </c:cat>
          <c:val>
            <c:numRef>
              <c:f>'KPI - 2'!$B$4:$B$7</c:f>
              <c:numCache>
                <c:formatCode>0</c:formatCode>
                <c:ptCount val="3"/>
                <c:pt idx="0">
                  <c:v>198</c:v>
                </c:pt>
                <c:pt idx="1">
                  <c:v>199</c:v>
                </c:pt>
                <c:pt idx="2">
                  <c:v>503</c:v>
                </c:pt>
              </c:numCache>
            </c:numRef>
          </c:val>
          <c:extLst>
            <c:ext xmlns:c16="http://schemas.microsoft.com/office/drawing/2014/chart" uri="{C3380CC4-5D6E-409C-BE32-E72D297353CC}">
              <c16:uniqueId val="{00000000-3A34-4958-B330-40E266E44086}"/>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- 2!PivotTable8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Match Results Breakdown</a:t>
            </a:r>
            <a:endParaRPr lang="en-IN" b="1"/>
          </a:p>
        </c:rich>
      </c:tx>
      <c:layout>
        <c:manualLayout>
          <c:xMode val="edge"/>
          <c:yMode val="edge"/>
          <c:x val="0.2818193350831146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'KPI - 2'!$B$3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07-49A6-AF7C-45BD16D1B4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07-49A6-AF7C-45BD16D1B4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07-49A6-AF7C-45BD16D1B4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- 2'!$A$4:$A$7</c:f>
              <c:strCache>
                <c:ptCount val="3"/>
                <c:pt idx="0">
                  <c:v>Away Win</c:v>
                </c:pt>
                <c:pt idx="1">
                  <c:v>Draw</c:v>
                </c:pt>
                <c:pt idx="2">
                  <c:v>Home Win</c:v>
                </c:pt>
              </c:strCache>
            </c:strRef>
          </c:cat>
          <c:val>
            <c:numRef>
              <c:f>'KPI - 2'!$B$4:$B$7</c:f>
              <c:numCache>
                <c:formatCode>0</c:formatCode>
                <c:ptCount val="3"/>
                <c:pt idx="0">
                  <c:v>198</c:v>
                </c:pt>
                <c:pt idx="1">
                  <c:v>199</c:v>
                </c:pt>
                <c:pt idx="2">
                  <c:v>503</c:v>
                </c:pt>
              </c:numCache>
            </c:numRef>
          </c:val>
          <c:extLst>
            <c:ext xmlns:c16="http://schemas.microsoft.com/office/drawing/2014/chart" uri="{C3380CC4-5D6E-409C-BE32-E72D297353CC}">
              <c16:uniqueId val="{00000006-FD07-49A6-AF7C-45BD16D1B4ED}"/>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- 2!PivotTable12</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Matches by Stage</a:t>
            </a:r>
          </a:p>
        </c:rich>
      </c:tx>
      <c:layout>
        <c:manualLayout>
          <c:xMode val="edge"/>
          <c:yMode val="edge"/>
          <c:x val="0.37620822397200349"/>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- 2'!$D$4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- 2'!$C$5:$C$15</c:f>
              <c:strCache>
                <c:ptCount val="10"/>
                <c:pt idx="0">
                  <c:v>Final</c:v>
                </c:pt>
                <c:pt idx="1">
                  <c:v>Final round</c:v>
                </c:pt>
                <c:pt idx="2">
                  <c:v>First group stage</c:v>
                </c:pt>
                <c:pt idx="3">
                  <c:v>First round</c:v>
                </c:pt>
                <c:pt idx="4">
                  <c:v>Group stage</c:v>
                </c:pt>
                <c:pt idx="5">
                  <c:v>Quarter-finals</c:v>
                </c:pt>
                <c:pt idx="6">
                  <c:v>Round of 16</c:v>
                </c:pt>
                <c:pt idx="7">
                  <c:v>Second group stage</c:v>
                </c:pt>
                <c:pt idx="8">
                  <c:v>Semi-finals</c:v>
                </c:pt>
                <c:pt idx="9">
                  <c:v>Third place</c:v>
                </c:pt>
              </c:strCache>
            </c:strRef>
          </c:cat>
          <c:val>
            <c:numRef>
              <c:f>'KPI - 2'!$D$5:$D$15</c:f>
              <c:numCache>
                <c:formatCode>0</c:formatCode>
                <c:ptCount val="10"/>
                <c:pt idx="0">
                  <c:v>20</c:v>
                </c:pt>
                <c:pt idx="1">
                  <c:v>6</c:v>
                </c:pt>
                <c:pt idx="2">
                  <c:v>84</c:v>
                </c:pt>
                <c:pt idx="3">
                  <c:v>16</c:v>
                </c:pt>
                <c:pt idx="4">
                  <c:v>528</c:v>
                </c:pt>
                <c:pt idx="5">
                  <c:v>66</c:v>
                </c:pt>
                <c:pt idx="6">
                  <c:v>89</c:v>
                </c:pt>
                <c:pt idx="7">
                  <c:v>36</c:v>
                </c:pt>
                <c:pt idx="8">
                  <c:v>36</c:v>
                </c:pt>
                <c:pt idx="9">
                  <c:v>19</c:v>
                </c:pt>
              </c:numCache>
            </c:numRef>
          </c:val>
          <c:extLst>
            <c:ext xmlns:c16="http://schemas.microsoft.com/office/drawing/2014/chart" uri="{C3380CC4-5D6E-409C-BE32-E72D297353CC}">
              <c16:uniqueId val="{00000000-0AC4-4008-9EAF-EE174C861A65}"/>
            </c:ext>
          </c:extLst>
        </c:ser>
        <c:dLbls>
          <c:dLblPos val="ctr"/>
          <c:showLegendKey val="0"/>
          <c:showVal val="1"/>
          <c:showCatName val="0"/>
          <c:showSerName val="0"/>
          <c:showPercent val="0"/>
          <c:showBubbleSize val="0"/>
        </c:dLbls>
        <c:gapWidth val="150"/>
        <c:overlap val="100"/>
        <c:axId val="1293785567"/>
        <c:axId val="1293787007"/>
      </c:barChart>
      <c:catAx>
        <c:axId val="12937855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787007"/>
        <c:crosses val="autoZero"/>
        <c:auto val="1"/>
        <c:lblAlgn val="ctr"/>
        <c:lblOffset val="100"/>
        <c:noMultiLvlLbl val="0"/>
      </c:catAx>
      <c:valAx>
        <c:axId val="1293787007"/>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785567"/>
        <c:crosses val="autoZero"/>
        <c:crossBetween val="between"/>
      </c:valAx>
      <c:spPr>
        <a:noFill/>
        <a:ln>
          <a:noFill/>
        </a:ln>
        <a:effectLst/>
      </c:spPr>
    </c:plotArea>
    <c:legend>
      <c:legendPos val="r"/>
      <c:layout>
        <c:manualLayout>
          <c:xMode val="edge"/>
          <c:yMode val="edge"/>
          <c:x val="0.88498140857392826"/>
          <c:y val="4.447871099445902E-2"/>
          <c:w val="9.3243070225977845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- 2!PivotTable13</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Goals by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- 2'!$B$9</c:f>
              <c:strCache>
                <c:ptCount val="1"/>
                <c:pt idx="0">
                  <c:v>Total</c:v>
                </c:pt>
              </c:strCache>
            </c:strRef>
          </c:tx>
          <c:spPr>
            <a:solidFill>
              <a:schemeClr val="accent1"/>
            </a:solidFill>
            <a:ln>
              <a:noFill/>
            </a:ln>
            <a:effectLst/>
          </c:spPr>
          <c:invertIfNegative val="0"/>
          <c:cat>
            <c:strRef>
              <c:f>'KPI - 2'!$A$10:$A$20</c:f>
              <c:strCache>
                <c:ptCount val="10"/>
                <c:pt idx="0">
                  <c:v>Final</c:v>
                </c:pt>
                <c:pt idx="1">
                  <c:v>Final round</c:v>
                </c:pt>
                <c:pt idx="2">
                  <c:v>First group stage</c:v>
                </c:pt>
                <c:pt idx="3">
                  <c:v>First round</c:v>
                </c:pt>
                <c:pt idx="4">
                  <c:v>Group stage</c:v>
                </c:pt>
                <c:pt idx="5">
                  <c:v>Quarter-finals</c:v>
                </c:pt>
                <c:pt idx="6">
                  <c:v>Round of 16</c:v>
                </c:pt>
                <c:pt idx="7">
                  <c:v>Second group stage</c:v>
                </c:pt>
                <c:pt idx="8">
                  <c:v>Semi-finals</c:v>
                </c:pt>
                <c:pt idx="9">
                  <c:v>Third place</c:v>
                </c:pt>
              </c:strCache>
            </c:strRef>
          </c:cat>
          <c:val>
            <c:numRef>
              <c:f>'KPI - 2'!$B$10:$B$20</c:f>
              <c:numCache>
                <c:formatCode>0</c:formatCode>
                <c:ptCount val="10"/>
                <c:pt idx="0">
                  <c:v>74</c:v>
                </c:pt>
                <c:pt idx="1">
                  <c:v>31</c:v>
                </c:pt>
                <c:pt idx="2">
                  <c:v>223</c:v>
                </c:pt>
                <c:pt idx="3">
                  <c:v>57</c:v>
                </c:pt>
                <c:pt idx="4">
                  <c:v>1408</c:v>
                </c:pt>
                <c:pt idx="5">
                  <c:v>186</c:v>
                </c:pt>
                <c:pt idx="6">
                  <c:v>275</c:v>
                </c:pt>
                <c:pt idx="7">
                  <c:v>94</c:v>
                </c:pt>
                <c:pt idx="8">
                  <c:v>127</c:v>
                </c:pt>
                <c:pt idx="9">
                  <c:v>73</c:v>
                </c:pt>
              </c:numCache>
            </c:numRef>
          </c:val>
          <c:extLst>
            <c:ext xmlns:c16="http://schemas.microsoft.com/office/drawing/2014/chart" uri="{C3380CC4-5D6E-409C-BE32-E72D297353CC}">
              <c16:uniqueId val="{00000000-1094-4643-9A51-3B1996ACEA1F}"/>
            </c:ext>
          </c:extLst>
        </c:ser>
        <c:dLbls>
          <c:showLegendKey val="0"/>
          <c:showVal val="0"/>
          <c:showCatName val="0"/>
          <c:showSerName val="0"/>
          <c:showPercent val="0"/>
          <c:showBubbleSize val="0"/>
        </c:dLbls>
        <c:gapWidth val="219"/>
        <c:overlap val="-27"/>
        <c:axId val="1071564767"/>
        <c:axId val="1071564287"/>
      </c:barChart>
      <c:catAx>
        <c:axId val="107156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64287"/>
        <c:crosses val="autoZero"/>
        <c:auto val="1"/>
        <c:lblAlgn val="ctr"/>
        <c:lblOffset val="100"/>
        <c:noMultiLvlLbl val="0"/>
      </c:catAx>
      <c:valAx>
        <c:axId val="1071564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64767"/>
        <c:crosses val="autoZero"/>
        <c:crossBetween val="between"/>
      </c:valAx>
      <c:spPr>
        <a:noFill/>
        <a:ln>
          <a:noFill/>
        </a:ln>
        <a:effectLst/>
      </c:spPr>
    </c:plotArea>
    <c:legend>
      <c:legendPos val="r"/>
      <c:layout>
        <c:manualLayout>
          <c:xMode val="edge"/>
          <c:yMode val="edge"/>
          <c:x val="0.87387029746281719"/>
          <c:y val="3.5219451735199775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- 1!PivotTable1</c:name>
    <c:fmtId val="2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Goals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- 1'!$B$3</c:f>
              <c:strCache>
                <c:ptCount val="1"/>
                <c:pt idx="0">
                  <c:v>Total</c:v>
                </c:pt>
              </c:strCache>
            </c:strRef>
          </c:tx>
          <c:spPr>
            <a:ln w="28575" cap="rnd">
              <a:solidFill>
                <a:schemeClr val="accent1"/>
              </a:solidFill>
              <a:round/>
            </a:ln>
            <a:effectLst/>
          </c:spPr>
          <c:marker>
            <c:symbol val="none"/>
          </c:marker>
          <c:cat>
            <c:strRef>
              <c:f>'KPI - 1'!$A$4:$A$13</c:f>
              <c:strCache>
                <c:ptCount val="9"/>
                <c:pt idx="0">
                  <c:v>Argentina</c:v>
                </c:pt>
                <c:pt idx="1">
                  <c:v>Brazil</c:v>
                </c:pt>
                <c:pt idx="2">
                  <c:v>England</c:v>
                </c:pt>
                <c:pt idx="3">
                  <c:v>France</c:v>
                </c:pt>
                <c:pt idx="4">
                  <c:v>Germany</c:v>
                </c:pt>
                <c:pt idx="5">
                  <c:v>Germany FR</c:v>
                </c:pt>
                <c:pt idx="6">
                  <c:v>Italy</c:v>
                </c:pt>
                <c:pt idx="7">
                  <c:v>Spain</c:v>
                </c:pt>
                <c:pt idx="8">
                  <c:v>Uruguay</c:v>
                </c:pt>
              </c:strCache>
            </c:strRef>
          </c:cat>
          <c:val>
            <c:numRef>
              <c:f>'KPI - 1'!$B$4:$B$13</c:f>
              <c:numCache>
                <c:formatCode>0</c:formatCode>
                <c:ptCount val="9"/>
                <c:pt idx="0">
                  <c:v>3</c:v>
                </c:pt>
                <c:pt idx="1">
                  <c:v>5</c:v>
                </c:pt>
                <c:pt idx="2">
                  <c:v>1</c:v>
                </c:pt>
                <c:pt idx="3">
                  <c:v>2</c:v>
                </c:pt>
                <c:pt idx="4">
                  <c:v>1</c:v>
                </c:pt>
                <c:pt idx="5">
                  <c:v>3</c:v>
                </c:pt>
                <c:pt idx="6">
                  <c:v>4</c:v>
                </c:pt>
                <c:pt idx="7">
                  <c:v>1</c:v>
                </c:pt>
                <c:pt idx="8">
                  <c:v>2</c:v>
                </c:pt>
              </c:numCache>
            </c:numRef>
          </c:val>
          <c:smooth val="0"/>
          <c:extLst>
            <c:ext xmlns:c16="http://schemas.microsoft.com/office/drawing/2014/chart" uri="{C3380CC4-5D6E-409C-BE32-E72D297353CC}">
              <c16:uniqueId val="{00000000-1571-4CCD-8FE3-8E94823D36C3}"/>
            </c:ext>
          </c:extLst>
        </c:ser>
        <c:dLbls>
          <c:showLegendKey val="0"/>
          <c:showVal val="0"/>
          <c:showCatName val="0"/>
          <c:showSerName val="0"/>
          <c:showPercent val="0"/>
          <c:showBubbleSize val="0"/>
        </c:dLbls>
        <c:smooth val="0"/>
        <c:axId val="1071559967"/>
        <c:axId val="1071560447"/>
      </c:lineChart>
      <c:catAx>
        <c:axId val="107155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71560447"/>
        <c:crosses val="autoZero"/>
        <c:auto val="1"/>
        <c:lblAlgn val="ctr"/>
        <c:lblOffset val="100"/>
        <c:noMultiLvlLbl val="0"/>
      </c:catAx>
      <c:valAx>
        <c:axId val="10715604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71559967"/>
        <c:crosses val="autoZero"/>
        <c:crossBetween val="between"/>
      </c:valAx>
      <c:spPr>
        <a:noFill/>
        <a:ln>
          <a:noFill/>
        </a:ln>
        <a:effectLst/>
      </c:spPr>
    </c:plotArea>
    <c:legend>
      <c:legendPos val="r"/>
      <c:layout>
        <c:manualLayout>
          <c:xMode val="edge"/>
          <c:yMode val="edge"/>
          <c:x val="0.84757962232953921"/>
          <c:y val="4.7671251394004931E-2"/>
          <c:w val="0.1242513635859538"/>
          <c:h val="7.2425399614747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- 1!PivotTable1</c:name>
    <c:fmtId val="25"/>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IN" b="1"/>
          </a:p>
          <a:p>
            <a:pPr algn="ctr" rtl="0">
              <a:defRPr/>
            </a:pPr>
            <a:r>
              <a:rPr lang="en-IN" b="1"/>
              <a:t>Winning Countries</a:t>
            </a:r>
          </a:p>
          <a:p>
            <a:pPr algn="ctr" rtl="0">
              <a:defRPr/>
            </a:pPr>
            <a:endParaRPr lang="en-IN"/>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- 1'!$A$4:$A$13</c:f>
              <c:strCache>
                <c:ptCount val="9"/>
                <c:pt idx="0">
                  <c:v>Argentina</c:v>
                </c:pt>
                <c:pt idx="1">
                  <c:v>Brazil</c:v>
                </c:pt>
                <c:pt idx="2">
                  <c:v>England</c:v>
                </c:pt>
                <c:pt idx="3">
                  <c:v>France</c:v>
                </c:pt>
                <c:pt idx="4">
                  <c:v>Germany</c:v>
                </c:pt>
                <c:pt idx="5">
                  <c:v>Germany FR</c:v>
                </c:pt>
                <c:pt idx="6">
                  <c:v>Italy</c:v>
                </c:pt>
                <c:pt idx="7">
                  <c:v>Spain</c:v>
                </c:pt>
                <c:pt idx="8">
                  <c:v>Uruguay</c:v>
                </c:pt>
              </c:strCache>
            </c:strRef>
          </c:cat>
          <c:val>
            <c:numRef>
              <c:f>'KPI - 1'!$B$4:$B$13</c:f>
              <c:numCache>
                <c:formatCode>0</c:formatCode>
                <c:ptCount val="9"/>
                <c:pt idx="0">
                  <c:v>3</c:v>
                </c:pt>
                <c:pt idx="1">
                  <c:v>5</c:v>
                </c:pt>
                <c:pt idx="2">
                  <c:v>1</c:v>
                </c:pt>
                <c:pt idx="3">
                  <c:v>2</c:v>
                </c:pt>
                <c:pt idx="4">
                  <c:v>1</c:v>
                </c:pt>
                <c:pt idx="5">
                  <c:v>3</c:v>
                </c:pt>
                <c:pt idx="6">
                  <c:v>4</c:v>
                </c:pt>
                <c:pt idx="7">
                  <c:v>1</c:v>
                </c:pt>
                <c:pt idx="8">
                  <c:v>2</c:v>
                </c:pt>
              </c:numCache>
            </c:numRef>
          </c:val>
          <c:extLst>
            <c:ext xmlns:c16="http://schemas.microsoft.com/office/drawing/2014/chart" uri="{C3380CC4-5D6E-409C-BE32-E72D297353CC}">
              <c16:uniqueId val="{00000000-C710-4265-A92E-C5B17A0FBBD9}"/>
            </c:ext>
          </c:extLst>
        </c:ser>
        <c:dLbls>
          <c:showLegendKey val="0"/>
          <c:showVal val="0"/>
          <c:showCatName val="0"/>
          <c:showSerName val="0"/>
          <c:showPercent val="0"/>
          <c:showBubbleSize val="0"/>
        </c:dLbls>
        <c:gapWidth val="75"/>
        <c:overlap val="40"/>
        <c:axId val="1293790847"/>
        <c:axId val="1293795167"/>
      </c:barChart>
      <c:catAx>
        <c:axId val="129379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93795167"/>
        <c:crosses val="autoZero"/>
        <c:auto val="1"/>
        <c:lblAlgn val="ctr"/>
        <c:lblOffset val="100"/>
        <c:noMultiLvlLbl val="0"/>
      </c:catAx>
      <c:valAx>
        <c:axId val="12937951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9379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- 2!PivotTable8</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Match Results Breakdown</a:t>
            </a:r>
          </a:p>
        </c:rich>
      </c:tx>
      <c:layout>
        <c:manualLayout>
          <c:xMode val="edge"/>
          <c:yMode val="edge"/>
          <c:x val="0.2818193350831146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'KPI - 2'!$B$3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F3-4E5C-A29F-6C980AE7FE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F3-4E5C-A29F-6C980AE7FE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F3-4E5C-A29F-6C980AE7FE9E}"/>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- 2'!$A$4:$A$7</c:f>
              <c:strCache>
                <c:ptCount val="3"/>
                <c:pt idx="0">
                  <c:v>Away Win</c:v>
                </c:pt>
                <c:pt idx="1">
                  <c:v>Draw</c:v>
                </c:pt>
                <c:pt idx="2">
                  <c:v>Home Win</c:v>
                </c:pt>
              </c:strCache>
            </c:strRef>
          </c:cat>
          <c:val>
            <c:numRef>
              <c:f>'KPI - 2'!$B$4:$B$7</c:f>
              <c:numCache>
                <c:formatCode>0</c:formatCode>
                <c:ptCount val="3"/>
                <c:pt idx="0">
                  <c:v>198</c:v>
                </c:pt>
                <c:pt idx="1">
                  <c:v>199</c:v>
                </c:pt>
                <c:pt idx="2">
                  <c:v>503</c:v>
                </c:pt>
              </c:numCache>
            </c:numRef>
          </c:val>
          <c:extLst>
            <c:ext xmlns:c16="http://schemas.microsoft.com/office/drawing/2014/chart" uri="{C3380CC4-5D6E-409C-BE32-E72D297353CC}">
              <c16:uniqueId val="{00000006-D1F3-4E5C-A29F-6C980AE7FE9E}"/>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- 2!PivotTable12</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Matches by Stage</a:t>
            </a:r>
          </a:p>
        </c:rich>
      </c:tx>
      <c:layout>
        <c:manualLayout>
          <c:xMode val="edge"/>
          <c:yMode val="edge"/>
          <c:x val="0.37620822397200349"/>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 - 2'!$D$4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- 2'!$C$5:$C$15</c:f>
              <c:strCache>
                <c:ptCount val="10"/>
                <c:pt idx="0">
                  <c:v>Final</c:v>
                </c:pt>
                <c:pt idx="1">
                  <c:v>Final round</c:v>
                </c:pt>
                <c:pt idx="2">
                  <c:v>First group stage</c:v>
                </c:pt>
                <c:pt idx="3">
                  <c:v>First round</c:v>
                </c:pt>
                <c:pt idx="4">
                  <c:v>Group stage</c:v>
                </c:pt>
                <c:pt idx="5">
                  <c:v>Quarter-finals</c:v>
                </c:pt>
                <c:pt idx="6">
                  <c:v>Round of 16</c:v>
                </c:pt>
                <c:pt idx="7">
                  <c:v>Second group stage</c:v>
                </c:pt>
                <c:pt idx="8">
                  <c:v>Semi-finals</c:v>
                </c:pt>
                <c:pt idx="9">
                  <c:v>Third place</c:v>
                </c:pt>
              </c:strCache>
            </c:strRef>
          </c:cat>
          <c:val>
            <c:numRef>
              <c:f>'KPI - 2'!$D$5:$D$15</c:f>
              <c:numCache>
                <c:formatCode>0</c:formatCode>
                <c:ptCount val="10"/>
                <c:pt idx="0">
                  <c:v>20</c:v>
                </c:pt>
                <c:pt idx="1">
                  <c:v>6</c:v>
                </c:pt>
                <c:pt idx="2">
                  <c:v>84</c:v>
                </c:pt>
                <c:pt idx="3">
                  <c:v>16</c:v>
                </c:pt>
                <c:pt idx="4">
                  <c:v>528</c:v>
                </c:pt>
                <c:pt idx="5">
                  <c:v>66</c:v>
                </c:pt>
                <c:pt idx="6">
                  <c:v>89</c:v>
                </c:pt>
                <c:pt idx="7">
                  <c:v>36</c:v>
                </c:pt>
                <c:pt idx="8">
                  <c:v>36</c:v>
                </c:pt>
                <c:pt idx="9">
                  <c:v>19</c:v>
                </c:pt>
              </c:numCache>
            </c:numRef>
          </c:val>
          <c:extLst>
            <c:ext xmlns:c16="http://schemas.microsoft.com/office/drawing/2014/chart" uri="{C3380CC4-5D6E-409C-BE32-E72D297353CC}">
              <c16:uniqueId val="{00000000-28C3-42C0-93A6-CAA1E03CCAA9}"/>
            </c:ext>
          </c:extLst>
        </c:ser>
        <c:dLbls>
          <c:dLblPos val="ctr"/>
          <c:showLegendKey val="0"/>
          <c:showVal val="1"/>
          <c:showCatName val="0"/>
          <c:showSerName val="0"/>
          <c:showPercent val="0"/>
          <c:showBubbleSize val="0"/>
        </c:dLbls>
        <c:gapWidth val="150"/>
        <c:overlap val="100"/>
        <c:axId val="1293785567"/>
        <c:axId val="1293787007"/>
      </c:barChart>
      <c:catAx>
        <c:axId val="12937855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787007"/>
        <c:crosses val="autoZero"/>
        <c:auto val="1"/>
        <c:lblAlgn val="ctr"/>
        <c:lblOffset val="100"/>
        <c:noMultiLvlLbl val="0"/>
      </c:catAx>
      <c:valAx>
        <c:axId val="1293787007"/>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785567"/>
        <c:crosses val="autoZero"/>
        <c:crossBetween val="between"/>
      </c:valAx>
      <c:spPr>
        <a:noFill/>
        <a:ln>
          <a:noFill/>
        </a:ln>
        <a:effectLst/>
      </c:spPr>
    </c:plotArea>
    <c:legend>
      <c:legendPos val="r"/>
      <c:layout>
        <c:manualLayout>
          <c:xMode val="edge"/>
          <c:yMode val="edge"/>
          <c:x val="0.88498140857392826"/>
          <c:y val="4.447871099445902E-2"/>
          <c:w val="9.3243070225977845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[World.xlsx]KPI - 2!PivotTable13</c:name>
    <c:fmtId val="4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Goals by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- 2'!$B$9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- 2'!$A$10:$A$20</c:f>
              <c:strCache>
                <c:ptCount val="10"/>
                <c:pt idx="0">
                  <c:v>Final</c:v>
                </c:pt>
                <c:pt idx="1">
                  <c:v>Final round</c:v>
                </c:pt>
                <c:pt idx="2">
                  <c:v>First group stage</c:v>
                </c:pt>
                <c:pt idx="3">
                  <c:v>First round</c:v>
                </c:pt>
                <c:pt idx="4">
                  <c:v>Group stage</c:v>
                </c:pt>
                <c:pt idx="5">
                  <c:v>Quarter-finals</c:v>
                </c:pt>
                <c:pt idx="6">
                  <c:v>Round of 16</c:v>
                </c:pt>
                <c:pt idx="7">
                  <c:v>Second group stage</c:v>
                </c:pt>
                <c:pt idx="8">
                  <c:v>Semi-finals</c:v>
                </c:pt>
                <c:pt idx="9">
                  <c:v>Third place</c:v>
                </c:pt>
              </c:strCache>
            </c:strRef>
          </c:cat>
          <c:val>
            <c:numRef>
              <c:f>'KPI - 2'!$B$10:$B$20</c:f>
              <c:numCache>
                <c:formatCode>0</c:formatCode>
                <c:ptCount val="10"/>
                <c:pt idx="0">
                  <c:v>74</c:v>
                </c:pt>
                <c:pt idx="1">
                  <c:v>31</c:v>
                </c:pt>
                <c:pt idx="2">
                  <c:v>223</c:v>
                </c:pt>
                <c:pt idx="3">
                  <c:v>57</c:v>
                </c:pt>
                <c:pt idx="4">
                  <c:v>1408</c:v>
                </c:pt>
                <c:pt idx="5">
                  <c:v>186</c:v>
                </c:pt>
                <c:pt idx="6">
                  <c:v>275</c:v>
                </c:pt>
                <c:pt idx="7">
                  <c:v>94</c:v>
                </c:pt>
                <c:pt idx="8">
                  <c:v>127</c:v>
                </c:pt>
                <c:pt idx="9">
                  <c:v>73</c:v>
                </c:pt>
              </c:numCache>
            </c:numRef>
          </c:val>
          <c:extLst>
            <c:ext xmlns:c16="http://schemas.microsoft.com/office/drawing/2014/chart" uri="{C3380CC4-5D6E-409C-BE32-E72D297353CC}">
              <c16:uniqueId val="{00000000-827B-4986-B18E-302AB8B82174}"/>
            </c:ext>
          </c:extLst>
        </c:ser>
        <c:dLbls>
          <c:showLegendKey val="0"/>
          <c:showVal val="1"/>
          <c:showCatName val="0"/>
          <c:showSerName val="0"/>
          <c:showPercent val="0"/>
          <c:showBubbleSize val="0"/>
        </c:dLbls>
        <c:gapWidth val="75"/>
        <c:overlap val="40"/>
        <c:axId val="1071564767"/>
        <c:axId val="1071564287"/>
      </c:barChart>
      <c:catAx>
        <c:axId val="107156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71564287"/>
        <c:crosses val="autoZero"/>
        <c:auto val="1"/>
        <c:lblAlgn val="ctr"/>
        <c:lblOffset val="100"/>
        <c:noMultiLvlLbl val="0"/>
      </c:catAx>
      <c:valAx>
        <c:axId val="1071564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7156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scene3d>
      <a:camera prst="orthographicFront"/>
      <a:lightRig rig="threePt" dir="t"/>
    </a:scene3d>
    <a:sp3d prstMaterial="matte">
      <a:bevelT w="127000" h="635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38100</xdr:colOff>
      <xdr:row>33</xdr:row>
      <xdr:rowOff>177800</xdr:rowOff>
    </xdr:from>
    <xdr:to>
      <xdr:col>7</xdr:col>
      <xdr:colOff>260350</xdr:colOff>
      <xdr:row>50</xdr:row>
      <xdr:rowOff>6350</xdr:rowOff>
    </xdr:to>
    <xdr:graphicFrame macro="">
      <xdr:nvGraphicFramePr>
        <xdr:cNvPr id="2" name="Chart 1">
          <a:extLst>
            <a:ext uri="{FF2B5EF4-FFF2-40B4-BE49-F238E27FC236}">
              <a16:creationId xmlns:a16="http://schemas.microsoft.com/office/drawing/2014/main" id="{6DE47A2A-0526-4951-8F9C-3FC57CA7B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51</xdr:row>
      <xdr:rowOff>0</xdr:rowOff>
    </xdr:from>
    <xdr:to>
      <xdr:col>3</xdr:col>
      <xdr:colOff>1244600</xdr:colOff>
      <xdr:row>65</xdr:row>
      <xdr:rowOff>165100</xdr:rowOff>
    </xdr:to>
    <xdr:graphicFrame macro="">
      <xdr:nvGraphicFramePr>
        <xdr:cNvPr id="3" name="Chart 2">
          <a:extLst>
            <a:ext uri="{FF2B5EF4-FFF2-40B4-BE49-F238E27FC236}">
              <a16:creationId xmlns:a16="http://schemas.microsoft.com/office/drawing/2014/main" id="{13EFAA7A-205D-ADE4-C384-4253DD061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146050</xdr:colOff>
      <xdr:row>2</xdr:row>
      <xdr:rowOff>19050</xdr:rowOff>
    </xdr:from>
    <xdr:to>
      <xdr:col>7</xdr:col>
      <xdr:colOff>146050</xdr:colOff>
      <xdr:row>15</xdr:row>
      <xdr:rowOff>149225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880B3B6C-B60D-2038-A7A7-B94CEFCEEE2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165600" y="387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25400</xdr:colOff>
      <xdr:row>2</xdr:row>
      <xdr:rowOff>0</xdr:rowOff>
    </xdr:from>
    <xdr:to>
      <xdr:col>10</xdr:col>
      <xdr:colOff>25400</xdr:colOff>
      <xdr:row>15</xdr:row>
      <xdr:rowOff>130175</xdr:rowOff>
    </xdr:to>
    <mc:AlternateContent xmlns:mc="http://schemas.openxmlformats.org/markup-compatibility/2006" xmlns:a14="http://schemas.microsoft.com/office/drawing/2010/main">
      <mc:Choice Requires="a14">
        <xdr:graphicFrame macro="">
          <xdr:nvGraphicFramePr>
            <xdr:cNvPr id="5" name="Host Country">
              <a:extLst>
                <a:ext uri="{FF2B5EF4-FFF2-40B4-BE49-F238E27FC236}">
                  <a16:creationId xmlns:a16="http://schemas.microsoft.com/office/drawing/2014/main" id="{2E2BE80C-4DB7-F451-30BA-6A16282614F0}"/>
                </a:ext>
              </a:extLst>
            </xdr:cNvPr>
            <xdr:cNvGraphicFramePr/>
          </xdr:nvGraphicFramePr>
          <xdr:xfrm>
            <a:off x="0" y="0"/>
            <a:ext cx="0" cy="0"/>
          </xdr:xfrm>
          <a:graphic>
            <a:graphicData uri="http://schemas.microsoft.com/office/drawing/2010/slicer">
              <sle:slicer xmlns:sle="http://schemas.microsoft.com/office/drawing/2010/slicer" name="Host Country"/>
            </a:graphicData>
          </a:graphic>
        </xdr:graphicFrame>
      </mc:Choice>
      <mc:Fallback xmlns="">
        <xdr:sp macro="" textlink="">
          <xdr:nvSpPr>
            <xdr:cNvPr id="0" name=""/>
            <xdr:cNvSpPr>
              <a:spLocks noTextEdit="1"/>
            </xdr:cNvSpPr>
          </xdr:nvSpPr>
          <xdr:spPr>
            <a:xfrm>
              <a:off x="5873750" y="368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1</xdr:row>
      <xdr:rowOff>171450</xdr:rowOff>
    </xdr:from>
    <xdr:to>
      <xdr:col>13</xdr:col>
      <xdr:colOff>152400</xdr:colOff>
      <xdr:row>15</xdr:row>
      <xdr:rowOff>117475</xdr:rowOff>
    </xdr:to>
    <mc:AlternateContent xmlns:mc="http://schemas.openxmlformats.org/markup-compatibility/2006" xmlns:a14="http://schemas.microsoft.com/office/drawing/2010/main">
      <mc:Choice Requires="a14">
        <xdr:graphicFrame macro="">
          <xdr:nvGraphicFramePr>
            <xdr:cNvPr id="6" name="Winner">
              <a:extLst>
                <a:ext uri="{FF2B5EF4-FFF2-40B4-BE49-F238E27FC236}">
                  <a16:creationId xmlns:a16="http://schemas.microsoft.com/office/drawing/2014/main" id="{7054AB31-5D10-1722-9625-632E27850E83}"/>
                </a:ext>
              </a:extLst>
            </xdr:cNvPr>
            <xdr:cNvGraphicFramePr/>
          </xdr:nvGraphicFramePr>
          <xdr:xfrm>
            <a:off x="0" y="0"/>
            <a:ext cx="0" cy="0"/>
          </xdr:xfrm>
          <a:graphic>
            <a:graphicData uri="http://schemas.microsoft.com/office/drawing/2010/slicer">
              <sle:slicer xmlns:sle="http://schemas.microsoft.com/office/drawing/2010/slicer" name="Winner"/>
            </a:graphicData>
          </a:graphic>
        </xdr:graphicFrame>
      </mc:Choice>
      <mc:Fallback xmlns="">
        <xdr:sp macro="" textlink="">
          <xdr:nvSpPr>
            <xdr:cNvPr id="0" name=""/>
            <xdr:cNvSpPr>
              <a:spLocks noTextEdit="1"/>
            </xdr:cNvSpPr>
          </xdr:nvSpPr>
          <xdr:spPr>
            <a:xfrm>
              <a:off x="7829550" y="355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4</xdr:row>
      <xdr:rowOff>76200</xdr:rowOff>
    </xdr:from>
    <xdr:to>
      <xdr:col>11</xdr:col>
      <xdr:colOff>44450</xdr:colOff>
      <xdr:row>19</xdr:row>
      <xdr:rowOff>57150</xdr:rowOff>
    </xdr:to>
    <xdr:graphicFrame macro="">
      <xdr:nvGraphicFramePr>
        <xdr:cNvPr id="2" name="Chart 1">
          <a:extLst>
            <a:ext uri="{FF2B5EF4-FFF2-40B4-BE49-F238E27FC236}">
              <a16:creationId xmlns:a16="http://schemas.microsoft.com/office/drawing/2014/main" id="{75B6FEEC-290A-EA0D-5B81-6E6F64C5C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4</xdr:col>
      <xdr:colOff>342900</xdr:colOff>
      <xdr:row>38</xdr:row>
      <xdr:rowOff>165100</xdr:rowOff>
    </xdr:to>
    <xdr:graphicFrame macro="">
      <xdr:nvGraphicFramePr>
        <xdr:cNvPr id="3" name="Chart 2">
          <a:extLst>
            <a:ext uri="{FF2B5EF4-FFF2-40B4-BE49-F238E27FC236}">
              <a16:creationId xmlns:a16="http://schemas.microsoft.com/office/drawing/2014/main" id="{189E84CC-336A-4C2B-83AC-D211AF196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19050</xdr:rowOff>
    </xdr:from>
    <xdr:to>
      <xdr:col>4</xdr:col>
      <xdr:colOff>406400</xdr:colOff>
      <xdr:row>55</xdr:row>
      <xdr:rowOff>0</xdr:rowOff>
    </xdr:to>
    <xdr:graphicFrame macro="">
      <xdr:nvGraphicFramePr>
        <xdr:cNvPr id="4" name="Chart 3">
          <a:extLst>
            <a:ext uri="{FF2B5EF4-FFF2-40B4-BE49-F238E27FC236}">
              <a16:creationId xmlns:a16="http://schemas.microsoft.com/office/drawing/2014/main" id="{8E4F494F-6AD5-A69D-315D-648FCE8C1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56</xdr:row>
      <xdr:rowOff>31750</xdr:rowOff>
    </xdr:from>
    <xdr:to>
      <xdr:col>4</xdr:col>
      <xdr:colOff>292100</xdr:colOff>
      <xdr:row>71</xdr:row>
      <xdr:rowOff>12700</xdr:rowOff>
    </xdr:to>
    <xdr:graphicFrame macro="">
      <xdr:nvGraphicFramePr>
        <xdr:cNvPr id="5" name="Chart 4">
          <a:extLst>
            <a:ext uri="{FF2B5EF4-FFF2-40B4-BE49-F238E27FC236}">
              <a16:creationId xmlns:a16="http://schemas.microsoft.com/office/drawing/2014/main" id="{8F113949-E9EC-F626-B595-54ADF01D1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654050</xdr:colOff>
      <xdr:row>37</xdr:row>
      <xdr:rowOff>76200</xdr:rowOff>
    </xdr:from>
    <xdr:to>
      <xdr:col>9</xdr:col>
      <xdr:colOff>107950</xdr:colOff>
      <xdr:row>51</xdr:row>
      <xdr:rowOff>22225</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8CE2A402-E1A4-6375-F605-4B716316EAB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112000" y="6889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876300</xdr:colOff>
      <xdr:row>22</xdr:row>
      <xdr:rowOff>101600</xdr:rowOff>
    </xdr:from>
    <xdr:to>
      <xdr:col>6</xdr:col>
      <xdr:colOff>527050</xdr:colOff>
      <xdr:row>36</xdr:row>
      <xdr:rowOff>47625</xdr:rowOff>
    </xdr:to>
    <mc:AlternateContent xmlns:mc="http://schemas.openxmlformats.org/markup-compatibility/2006" xmlns:a14="http://schemas.microsoft.com/office/drawing/2010/main">
      <mc:Choice Requires="a14">
        <xdr:graphicFrame macro="">
          <xdr:nvGraphicFramePr>
            <xdr:cNvPr id="7" name="Stage">
              <a:extLst>
                <a:ext uri="{FF2B5EF4-FFF2-40B4-BE49-F238E27FC236}">
                  <a16:creationId xmlns:a16="http://schemas.microsoft.com/office/drawing/2014/main" id="{452F3266-1639-0B25-BC5F-4E5349317744}"/>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5156200" y="4152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177800</xdr:rowOff>
    </xdr:from>
    <xdr:to>
      <xdr:col>6</xdr:col>
      <xdr:colOff>12700</xdr:colOff>
      <xdr:row>25</xdr:row>
      <xdr:rowOff>12700</xdr:rowOff>
    </xdr:to>
    <xdr:graphicFrame macro="">
      <xdr:nvGraphicFramePr>
        <xdr:cNvPr id="2" name="Chart 1">
          <a:extLst>
            <a:ext uri="{FF2B5EF4-FFF2-40B4-BE49-F238E27FC236}">
              <a16:creationId xmlns:a16="http://schemas.microsoft.com/office/drawing/2014/main" id="{99BED3FE-EBAE-4902-B7A2-D3C23F479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196850</xdr:colOff>
      <xdr:row>8</xdr:row>
      <xdr:rowOff>6350</xdr:rowOff>
    </xdr:from>
    <xdr:to>
      <xdr:col>13</xdr:col>
      <xdr:colOff>6350</xdr:colOff>
      <xdr:row>25</xdr:row>
      <xdr:rowOff>0</xdr:rowOff>
    </xdr:to>
    <xdr:graphicFrame macro="">
      <xdr:nvGraphicFramePr>
        <xdr:cNvPr id="3" name="Chart 2">
          <a:extLst>
            <a:ext uri="{FF2B5EF4-FFF2-40B4-BE49-F238E27FC236}">
              <a16:creationId xmlns:a16="http://schemas.microsoft.com/office/drawing/2014/main" id="{836EC97E-DF57-4FF4-BE15-5E86D325C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25</xdr:row>
      <xdr:rowOff>177800</xdr:rowOff>
    </xdr:from>
    <xdr:to>
      <xdr:col>13</xdr:col>
      <xdr:colOff>19050</xdr:colOff>
      <xdr:row>42</xdr:row>
      <xdr:rowOff>6350</xdr:rowOff>
    </xdr:to>
    <xdr:graphicFrame macro="">
      <xdr:nvGraphicFramePr>
        <xdr:cNvPr id="4" name="Chart 3">
          <a:extLst>
            <a:ext uri="{FF2B5EF4-FFF2-40B4-BE49-F238E27FC236}">
              <a16:creationId xmlns:a16="http://schemas.microsoft.com/office/drawing/2014/main" id="{3F45A3A3-4C85-496C-81D3-AE5ABE94C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25</xdr:row>
      <xdr:rowOff>165100</xdr:rowOff>
    </xdr:from>
    <xdr:to>
      <xdr:col>6</xdr:col>
      <xdr:colOff>6350</xdr:colOff>
      <xdr:row>41</xdr:row>
      <xdr:rowOff>177800</xdr:rowOff>
    </xdr:to>
    <xdr:graphicFrame macro="">
      <xdr:nvGraphicFramePr>
        <xdr:cNvPr id="5" name="Chart 4">
          <a:extLst>
            <a:ext uri="{FF2B5EF4-FFF2-40B4-BE49-F238E27FC236}">
              <a16:creationId xmlns:a16="http://schemas.microsoft.com/office/drawing/2014/main" id="{4B479FF6-B13B-4F28-9593-FBEE02B73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43</xdr:row>
      <xdr:rowOff>0</xdr:rowOff>
    </xdr:from>
    <xdr:to>
      <xdr:col>10</xdr:col>
      <xdr:colOff>365125</xdr:colOff>
      <xdr:row>58</xdr:row>
      <xdr:rowOff>6350</xdr:rowOff>
    </xdr:to>
    <xdr:graphicFrame macro="">
      <xdr:nvGraphicFramePr>
        <xdr:cNvPr id="6" name="Chart 5">
          <a:extLst>
            <a:ext uri="{FF2B5EF4-FFF2-40B4-BE49-F238E27FC236}">
              <a16:creationId xmlns:a16="http://schemas.microsoft.com/office/drawing/2014/main" id="{6CFA526F-2EA8-416C-92C7-5C51604AA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579438</xdr:colOff>
      <xdr:row>43</xdr:row>
      <xdr:rowOff>7938</xdr:rowOff>
    </xdr:from>
    <xdr:to>
      <xdr:col>12</xdr:col>
      <xdr:colOff>427037</xdr:colOff>
      <xdr:row>58</xdr:row>
      <xdr:rowOff>3175</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A8E0FDC1-92C5-4DD7-97BD-F48F5585E95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095494" y="7959549"/>
              <a:ext cx="1710266" cy="2746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603250</xdr:colOff>
      <xdr:row>42</xdr:row>
      <xdr:rowOff>173037</xdr:rowOff>
    </xdr:from>
    <xdr:to>
      <xdr:col>13</xdr:col>
      <xdr:colOff>1513674</xdr:colOff>
      <xdr:row>57</xdr:row>
      <xdr:rowOff>166688</xdr:rowOff>
    </xdr:to>
    <mc:AlternateContent xmlns:mc="http://schemas.openxmlformats.org/markup-compatibility/2006" xmlns:a14="http://schemas.microsoft.com/office/drawing/2010/main">
      <mc:Choice Requires="a14">
        <xdr:graphicFrame macro="">
          <xdr:nvGraphicFramePr>
            <xdr:cNvPr id="8" name="Host Country 1">
              <a:extLst>
                <a:ext uri="{FF2B5EF4-FFF2-40B4-BE49-F238E27FC236}">
                  <a16:creationId xmlns:a16="http://schemas.microsoft.com/office/drawing/2014/main" id="{FC2B2068-3EE3-4EFC-8609-B123AFD7C9D2}"/>
                </a:ext>
              </a:extLst>
            </xdr:cNvPr>
            <xdr:cNvGraphicFramePr/>
          </xdr:nvGraphicFramePr>
          <xdr:xfrm>
            <a:off x="0" y="0"/>
            <a:ext cx="0" cy="0"/>
          </xdr:xfrm>
          <a:graphic>
            <a:graphicData uri="http://schemas.microsoft.com/office/drawing/2010/slicer">
              <sle:slicer xmlns:sle="http://schemas.microsoft.com/office/drawing/2010/slicer" name="Host Country 1"/>
            </a:graphicData>
          </a:graphic>
        </xdr:graphicFrame>
      </mc:Choice>
      <mc:Fallback xmlns="">
        <xdr:sp macro="" textlink="">
          <xdr:nvSpPr>
            <xdr:cNvPr id="0" name=""/>
            <xdr:cNvSpPr>
              <a:spLocks noTextEdit="1"/>
            </xdr:cNvSpPr>
          </xdr:nvSpPr>
          <xdr:spPr>
            <a:xfrm>
              <a:off x="10981972" y="7941204"/>
              <a:ext cx="1517201" cy="2745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55563</xdr:colOff>
      <xdr:row>25</xdr:row>
      <xdr:rowOff>180975</xdr:rowOff>
    </xdr:from>
    <xdr:to>
      <xdr:col>14</xdr:col>
      <xdr:colOff>3526</xdr:colOff>
      <xdr:row>42</xdr:row>
      <xdr:rowOff>0</xdr:rowOff>
    </xdr:to>
    <mc:AlternateContent xmlns:mc="http://schemas.openxmlformats.org/markup-compatibility/2006" xmlns:a14="http://schemas.microsoft.com/office/drawing/2010/main">
      <mc:Choice Requires="a14">
        <xdr:graphicFrame macro="">
          <xdr:nvGraphicFramePr>
            <xdr:cNvPr id="9" name="Winner 1">
              <a:extLst>
                <a:ext uri="{FF2B5EF4-FFF2-40B4-BE49-F238E27FC236}">
                  <a16:creationId xmlns:a16="http://schemas.microsoft.com/office/drawing/2014/main" id="{61AE0DD5-2B89-481F-BA4C-ED1338F5B14A}"/>
                </a:ext>
              </a:extLst>
            </xdr:cNvPr>
            <xdr:cNvGraphicFramePr/>
          </xdr:nvGraphicFramePr>
          <xdr:xfrm>
            <a:off x="0" y="0"/>
            <a:ext cx="0" cy="0"/>
          </xdr:xfrm>
          <a:graphic>
            <a:graphicData uri="http://schemas.microsoft.com/office/drawing/2010/slicer">
              <sle:slicer xmlns:sle="http://schemas.microsoft.com/office/drawing/2010/slicer" name="Winner 1"/>
            </a:graphicData>
          </a:graphic>
        </xdr:graphicFrame>
      </mc:Choice>
      <mc:Fallback xmlns="">
        <xdr:sp macro="" textlink="">
          <xdr:nvSpPr>
            <xdr:cNvPr id="0" name=""/>
            <xdr:cNvSpPr>
              <a:spLocks noTextEdit="1"/>
            </xdr:cNvSpPr>
          </xdr:nvSpPr>
          <xdr:spPr>
            <a:xfrm>
              <a:off x="11041063" y="4830586"/>
              <a:ext cx="1479020" cy="2937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63500</xdr:colOff>
      <xdr:row>8</xdr:row>
      <xdr:rowOff>6350</xdr:rowOff>
    </xdr:from>
    <xdr:to>
      <xdr:col>14</xdr:col>
      <xdr:colOff>16226</xdr:colOff>
      <xdr:row>24</xdr:row>
      <xdr:rowOff>177800</xdr:rowOff>
    </xdr:to>
    <mc:AlternateContent xmlns:mc="http://schemas.openxmlformats.org/markup-compatibility/2006" xmlns:a14="http://schemas.microsoft.com/office/drawing/2010/main">
      <mc:Choice Requires="a14">
        <xdr:graphicFrame macro="">
          <xdr:nvGraphicFramePr>
            <xdr:cNvPr id="11" name="Stage 1">
              <a:extLst>
                <a:ext uri="{FF2B5EF4-FFF2-40B4-BE49-F238E27FC236}">
                  <a16:creationId xmlns:a16="http://schemas.microsoft.com/office/drawing/2014/main" id="{21CF0CD6-1C8E-41C4-A04A-D1762B1BCD2C}"/>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11049000" y="1537406"/>
              <a:ext cx="1483783" cy="3106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U PRAKASH" refreshedDate="46105.950176157407" createdVersion="8" refreshedVersion="8" minRefreshableVersion="3" recordCount="23" xr:uid="{FC234DFD-15D5-4471-B812-4153BF85D65A}">
  <cacheSource type="worksheet">
    <worksheetSource ref="A1:H1048576" sheet="World Cup"/>
  </cacheSource>
  <cacheFields count="8">
    <cacheField name="Year" numFmtId="0">
      <sharedItems containsString="0" containsBlank="1" containsNumber="1" containsInteger="1" minValue="1930" maxValue="2022" count="23">
        <n v="1930"/>
        <n v="1934"/>
        <n v="1938"/>
        <n v="1950"/>
        <n v="1954"/>
        <n v="1958"/>
        <n v="1962"/>
        <n v="1966"/>
        <n v="1970"/>
        <n v="1974"/>
        <n v="1978"/>
        <n v="1982"/>
        <n v="1986"/>
        <n v="1990"/>
        <n v="1994"/>
        <n v="1998"/>
        <n v="2002"/>
        <n v="2006"/>
        <n v="2010"/>
        <n v="2014"/>
        <n v="2018"/>
        <n v="2022"/>
        <m/>
      </sharedItems>
    </cacheField>
    <cacheField name="Host Country" numFmtId="0">
      <sharedItems containsBlank="1" count="18">
        <s v="Uruguay"/>
        <s v="Italy"/>
        <s v="France"/>
        <s v="Brazil"/>
        <s v="Switzerland"/>
        <s v="Sweden"/>
        <s v="Chile"/>
        <s v="England"/>
        <s v="Mexico"/>
        <s v="Germany"/>
        <s v="Argentina"/>
        <s v="Spain"/>
        <s v="USA"/>
        <s v="Korea/Japan"/>
        <s v="South Africa"/>
        <s v="Russia"/>
        <s v="Qatar"/>
        <m/>
      </sharedItems>
    </cacheField>
    <cacheField name="Winner" numFmtId="0">
      <sharedItems containsBlank="1" count="10">
        <s v="Uruguay"/>
        <s v="Italy"/>
        <s v="Germany FR"/>
        <s v="Brazil"/>
        <s v="England"/>
        <s v="Argentina"/>
        <s v="France"/>
        <s v="Spain"/>
        <s v="Germany"/>
        <m/>
      </sharedItems>
    </cacheField>
    <cacheField name="Runners-Up" numFmtId="0">
      <sharedItems containsBlank="1"/>
    </cacheField>
    <cacheField name="Third" numFmtId="0">
      <sharedItems containsBlank="1"/>
    </cacheField>
    <cacheField name="Goals Scored" numFmtId="0">
      <sharedItems containsString="0" containsBlank="1" containsNumber="1" containsInteger="1" minValue="70" maxValue="172"/>
    </cacheField>
    <cacheField name="Qualified Teams" numFmtId="0">
      <sharedItems containsString="0" containsBlank="1" containsNumber="1" containsInteger="1" minValue="13" maxValue="32"/>
    </cacheField>
    <cacheField name="Matches Played" numFmtId="0">
      <sharedItems containsString="0" containsBlank="1" containsNumber="1" containsInteger="1" minValue="17" maxValue="64"/>
    </cacheField>
  </cacheFields>
  <extLst>
    <ext xmlns:x14="http://schemas.microsoft.com/office/spreadsheetml/2009/9/main" uri="{725AE2AE-9491-48be-B2B4-4EB974FC3084}">
      <x14:pivotCacheDefinition pivotCacheId="18548669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U PRAKASH" refreshedDate="46105.962889930554" createdVersion="8" refreshedVersion="8" minRefreshableVersion="3" recordCount="901" xr:uid="{316FA520-63F0-46AF-A65A-A1B75EB37383}">
  <cacheSource type="worksheet">
    <worksheetSource ref="A1:K1048576" sheet="World Cup Matches"/>
  </cacheSource>
  <cacheFields count="11">
    <cacheField name="ID" numFmtId="0">
      <sharedItems containsString="0" containsBlank="1" containsNumber="1" containsInteger="1" minValue="1" maxValue="900"/>
    </cacheField>
    <cacheField name="Year" numFmtId="0">
      <sharedItems containsString="0" containsBlank="1" containsNumber="1" containsInteger="1" minValue="1930" maxValue="2018" count="22">
        <n v="1930"/>
        <n v="1934"/>
        <n v="1938"/>
        <n v="1950"/>
        <n v="1954"/>
        <n v="1958"/>
        <n v="1962"/>
        <n v="1966"/>
        <n v="1970"/>
        <n v="1974"/>
        <n v="1978"/>
        <n v="1982"/>
        <n v="1986"/>
        <n v="1990"/>
        <n v="1994"/>
        <n v="1998"/>
        <n v="2002"/>
        <n v="2006"/>
        <n v="2010"/>
        <n v="2014"/>
        <n v="2018"/>
        <m/>
      </sharedItems>
    </cacheField>
    <cacheField name="Date" numFmtId="0">
      <sharedItems containsNonDate="0" containsDate="1" containsString="0" containsBlank="1" minDate="1930-07-13T00:00:00" maxDate="2018-07-16T00:00:00"/>
    </cacheField>
    <cacheField name="Stage" numFmtId="0">
      <sharedItems containsBlank="1" count="11">
        <s v="Group stage"/>
        <s v="Semi-finals"/>
        <s v="Final"/>
        <s v="Round of 16"/>
        <s v="Quarter-finals"/>
        <s v="Third place"/>
        <s v="First round"/>
        <s v="Final round"/>
        <s v="First group stage"/>
        <s v="Second group stage"/>
        <m/>
      </sharedItems>
    </cacheField>
    <cacheField name="Home Team" numFmtId="0">
      <sharedItems containsBlank="1" count="78">
        <s v="France"/>
        <s v="United States"/>
        <s v="Yugoslavia"/>
        <s v="Romania"/>
        <s v="Argentina"/>
        <s v="Chile"/>
        <s v="Uruguay"/>
        <s v="Brazil"/>
        <s v="Paraguay"/>
        <s v="Austria"/>
        <s v="Hungary"/>
        <s v="Switzerland"/>
        <s v="Sweden"/>
        <s v="Germany"/>
        <s v="Spain"/>
        <s v="Italy"/>
        <s v="Czechoslovakia"/>
        <s v="Cuba"/>
        <s v="England"/>
        <s v="Turkey"/>
        <s v="Russia"/>
        <s v="Northern Ireland"/>
        <s v="Mexico"/>
        <s v="Wales"/>
        <s v="Portugal"/>
        <s v="North Korea"/>
        <s v="Peru"/>
        <s v="Belgium"/>
        <s v="Bulgaria"/>
        <s v="East Germany"/>
        <s v="DR Congo"/>
        <s v="Poland"/>
        <s v="Scotland"/>
        <s v="Netherlands"/>
        <s v="Haiti"/>
        <s v="Australia"/>
        <s v="Tunisia"/>
        <s v="Algeria"/>
        <s v="Honduras"/>
        <s v="Canada"/>
        <s v="Morocco"/>
        <s v="South Korea"/>
        <s v="Iraq"/>
        <s v="Denmark"/>
        <s v="United Arab Emirates"/>
        <s v="Costa Rica"/>
        <s v="Cameroon"/>
        <s v="Republic of Ireland"/>
        <s v="Colombia"/>
        <s v="Norway"/>
        <s v="Nigeria"/>
        <s v="Saudi Arabia"/>
        <s v="Bolivia"/>
        <s v="Greece"/>
        <s v="Jamaica"/>
        <s v="South Africa"/>
        <s v="Japan"/>
        <s v="Croatia"/>
        <s v="China"/>
        <s v="Senegal"/>
        <s v="Slovenia"/>
        <s v="Ecuador"/>
        <s v="Trinidad and Tobago"/>
        <s v="Serbia"/>
        <s v="Angola"/>
        <s v="Czech Republic"/>
        <s v="Togo"/>
        <s v="Iran"/>
        <s v="Ivory Coast"/>
        <s v="Ghana"/>
        <s v="Ukraine"/>
        <s v="New Zealand"/>
        <s v="Slovakia"/>
        <s v="Bosnia and Herzegovina"/>
        <s v="Egypt"/>
        <s v="Iceland"/>
        <s v="Panama"/>
        <m/>
      </sharedItems>
    </cacheField>
    <cacheField name="Home Goals" numFmtId="0">
      <sharedItems containsString="0" containsBlank="1" containsNumber="1" containsInteger="1" minValue="0" maxValue="10"/>
    </cacheField>
    <cacheField name="Away Goals" numFmtId="0">
      <sharedItems containsString="0" containsBlank="1" containsNumber="1" containsInteger="1" minValue="0" maxValue="7"/>
    </cacheField>
    <cacheField name="Away Team" numFmtId="0">
      <sharedItems containsBlank="1" count="82">
        <s v="Mexico"/>
        <s v="Belgium"/>
        <s v="Brazil"/>
        <s v="Peru"/>
        <s v="France"/>
        <s v="Bolivia"/>
        <s v="Paraguay"/>
        <s v="Romania"/>
        <s v="Chile"/>
        <s v="United States"/>
        <s v="Yugoslavia"/>
        <s v="Argentina"/>
        <s v="Egypt"/>
        <s v="Netherlands"/>
        <s v="Switzerland"/>
        <s v="Sweden"/>
        <s v="Spain"/>
        <s v="Hungary"/>
        <s v="Austria"/>
        <s v="Germany"/>
        <s v="Czechoslovakia"/>
        <s v="Indonesia"/>
        <s v="Norway"/>
        <s v="Poland"/>
        <s v="Cuba"/>
        <s v="Italy"/>
        <s v="England"/>
        <s v="Scotland"/>
        <s v="Turkey"/>
        <s v="South Korea"/>
        <s v="Uruguay"/>
        <s v="Wales"/>
        <s v="Northern Ireland"/>
        <s v="Russia"/>
        <s v="Colombia"/>
        <s v="Bulgaria"/>
        <s v="North Korea"/>
        <s v="Portugal"/>
        <s v="Israel"/>
        <s v="Morocco"/>
        <s v="El Salvador"/>
        <s v="Australia"/>
        <s v="Haiti"/>
        <s v="East Germany"/>
        <s v="DR Congo"/>
        <s v="Iran"/>
        <s v="Tunisia"/>
        <s v="Cameroon"/>
        <s v="New Zealand"/>
        <s v="Algeria"/>
        <s v="Honduras"/>
        <s v="Kuwait"/>
        <s v="Iraq"/>
        <s v="Denmark"/>
        <s v="Canada"/>
        <s v="Republic of Ireland"/>
        <s v="United Arab Emirates"/>
        <s v="Costa Rica"/>
        <s v="Saudi Arabia"/>
        <s v="Greece"/>
        <s v="Nigeria"/>
        <s v="South Africa"/>
        <s v="Japan"/>
        <s v="Croatia"/>
        <s v="Jamaica"/>
        <s v="Senegal"/>
        <s v="Slovenia"/>
        <s v="Ecuador"/>
        <s v="China"/>
        <s v="Ivory Coast"/>
        <s v="Czech Republic"/>
        <s v="Ghana"/>
        <s v="Togo"/>
        <s v="Ukraine"/>
        <s v="Trinidad and Tobago"/>
        <s v="Serbia"/>
        <s v="Angola"/>
        <s v="Slovakia"/>
        <s v="Bosnia and Herzegovina"/>
        <s v="Iceland"/>
        <s v="Panama"/>
        <m/>
      </sharedItems>
    </cacheField>
    <cacheField name="Host Team" numFmtId="0">
      <sharedItems containsBlank="1"/>
    </cacheField>
    <cacheField name="Total Goals" numFmtId="0">
      <sharedItems containsString="0" containsBlank="1" containsNumber="1" containsInteger="1" minValue="0" maxValue="12"/>
    </cacheField>
    <cacheField name="Match Result" numFmtId="0">
      <sharedItems containsBlank="1" count="4">
        <s v="Home Win"/>
        <s v="Draw"/>
        <s v="Away Win"/>
        <m/>
      </sharedItems>
    </cacheField>
  </cacheFields>
  <extLst>
    <ext xmlns:x14="http://schemas.microsoft.com/office/spreadsheetml/2009/9/main" uri="{725AE2AE-9491-48be-B2B4-4EB974FC3084}">
      <x14:pivotCacheDefinition pivotCacheId="628513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x v="0"/>
    <x v="0"/>
    <s v="Argentina"/>
    <s v="USA"/>
    <n v="70"/>
    <n v="13"/>
    <n v="18"/>
  </r>
  <r>
    <x v="1"/>
    <x v="1"/>
    <x v="1"/>
    <s v="Czechoslovakia"/>
    <s v="Germany"/>
    <n v="70"/>
    <n v="16"/>
    <n v="17"/>
  </r>
  <r>
    <x v="2"/>
    <x v="2"/>
    <x v="1"/>
    <s v="Hungary"/>
    <s v="Brazil"/>
    <n v="84"/>
    <n v="15"/>
    <n v="18"/>
  </r>
  <r>
    <x v="3"/>
    <x v="3"/>
    <x v="0"/>
    <s v="Brazil"/>
    <s v="Sweden"/>
    <n v="88"/>
    <n v="13"/>
    <n v="22"/>
  </r>
  <r>
    <x v="4"/>
    <x v="4"/>
    <x v="2"/>
    <s v="Hungary"/>
    <s v="Austria"/>
    <n v="140"/>
    <n v="16"/>
    <n v="26"/>
  </r>
  <r>
    <x v="5"/>
    <x v="5"/>
    <x v="3"/>
    <s v="Sweden"/>
    <s v="France"/>
    <n v="126"/>
    <n v="16"/>
    <n v="35"/>
  </r>
  <r>
    <x v="6"/>
    <x v="6"/>
    <x v="3"/>
    <s v="Czechoslovakia"/>
    <s v="Chile"/>
    <n v="89"/>
    <n v="16"/>
    <n v="32"/>
  </r>
  <r>
    <x v="7"/>
    <x v="7"/>
    <x v="4"/>
    <s v="Germany FR"/>
    <s v="Portugal"/>
    <n v="89"/>
    <n v="16"/>
    <n v="32"/>
  </r>
  <r>
    <x v="8"/>
    <x v="8"/>
    <x v="3"/>
    <s v="Italy"/>
    <s v="Germany FR"/>
    <n v="95"/>
    <n v="16"/>
    <n v="32"/>
  </r>
  <r>
    <x v="9"/>
    <x v="9"/>
    <x v="2"/>
    <s v="Netherlands"/>
    <s v="Poland"/>
    <n v="97"/>
    <n v="16"/>
    <n v="38"/>
  </r>
  <r>
    <x v="10"/>
    <x v="10"/>
    <x v="5"/>
    <s v="Netherlands"/>
    <s v="Brazil"/>
    <n v="102"/>
    <n v="16"/>
    <n v="38"/>
  </r>
  <r>
    <x v="11"/>
    <x v="11"/>
    <x v="1"/>
    <s v="Germany FR"/>
    <s v="Poland"/>
    <n v="146"/>
    <n v="24"/>
    <n v="52"/>
  </r>
  <r>
    <x v="12"/>
    <x v="8"/>
    <x v="5"/>
    <s v="Germany FR"/>
    <s v="France"/>
    <n v="132"/>
    <n v="24"/>
    <n v="52"/>
  </r>
  <r>
    <x v="13"/>
    <x v="1"/>
    <x v="2"/>
    <s v="Argentina"/>
    <s v="Italy"/>
    <n v="115"/>
    <n v="24"/>
    <n v="52"/>
  </r>
  <r>
    <x v="14"/>
    <x v="12"/>
    <x v="3"/>
    <s v="Italy"/>
    <s v="Sweden"/>
    <n v="141"/>
    <n v="24"/>
    <n v="52"/>
  </r>
  <r>
    <x v="15"/>
    <x v="2"/>
    <x v="6"/>
    <s v="Brazil"/>
    <s v="Croatia"/>
    <n v="171"/>
    <n v="32"/>
    <n v="64"/>
  </r>
  <r>
    <x v="16"/>
    <x v="13"/>
    <x v="3"/>
    <s v="Germany"/>
    <s v="Turkey"/>
    <n v="161"/>
    <n v="32"/>
    <n v="64"/>
  </r>
  <r>
    <x v="17"/>
    <x v="9"/>
    <x v="1"/>
    <s v="France"/>
    <s v="Germany"/>
    <n v="147"/>
    <n v="32"/>
    <n v="64"/>
  </r>
  <r>
    <x v="18"/>
    <x v="14"/>
    <x v="7"/>
    <s v="Netherlands"/>
    <s v="Germany"/>
    <n v="145"/>
    <n v="32"/>
    <n v="64"/>
  </r>
  <r>
    <x v="19"/>
    <x v="3"/>
    <x v="8"/>
    <s v="Argentina"/>
    <s v="Netherlands"/>
    <n v="171"/>
    <n v="32"/>
    <n v="64"/>
  </r>
  <r>
    <x v="20"/>
    <x v="15"/>
    <x v="6"/>
    <s v="Croatia"/>
    <s v="Belgium"/>
    <n v="169"/>
    <n v="32"/>
    <n v="64"/>
  </r>
  <r>
    <x v="21"/>
    <x v="16"/>
    <x v="5"/>
    <s v="France"/>
    <s v="Croatia"/>
    <n v="172"/>
    <n v="32"/>
    <n v="64"/>
  </r>
  <r>
    <x v="22"/>
    <x v="17"/>
    <x v="9"/>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1">
  <r>
    <n v="1"/>
    <x v="0"/>
    <d v="1930-07-13T00:00:00"/>
    <x v="0"/>
    <x v="0"/>
    <n v="4"/>
    <n v="1"/>
    <x v="0"/>
    <b v="0"/>
    <n v="5"/>
    <x v="0"/>
  </r>
  <r>
    <n v="2"/>
    <x v="0"/>
    <d v="1930-07-13T00:00:00"/>
    <x v="0"/>
    <x v="1"/>
    <n v="3"/>
    <n v="0"/>
    <x v="1"/>
    <b v="0"/>
    <n v="3"/>
    <x v="0"/>
  </r>
  <r>
    <n v="3"/>
    <x v="0"/>
    <d v="1930-07-14T00:00:00"/>
    <x v="0"/>
    <x v="2"/>
    <n v="2"/>
    <n v="1"/>
    <x v="2"/>
    <b v="0"/>
    <n v="3"/>
    <x v="0"/>
  </r>
  <r>
    <n v="4"/>
    <x v="0"/>
    <d v="1930-07-14T00:00:00"/>
    <x v="0"/>
    <x v="3"/>
    <n v="3"/>
    <n v="1"/>
    <x v="3"/>
    <b v="0"/>
    <n v="4"/>
    <x v="0"/>
  </r>
  <r>
    <n v="5"/>
    <x v="0"/>
    <d v="1930-07-15T00:00:00"/>
    <x v="0"/>
    <x v="4"/>
    <n v="1"/>
    <n v="0"/>
    <x v="4"/>
    <b v="0"/>
    <n v="1"/>
    <x v="0"/>
  </r>
  <r>
    <n v="6"/>
    <x v="0"/>
    <d v="1930-07-16T00:00:00"/>
    <x v="0"/>
    <x v="5"/>
    <n v="3"/>
    <n v="0"/>
    <x v="0"/>
    <b v="0"/>
    <n v="3"/>
    <x v="0"/>
  </r>
  <r>
    <n v="7"/>
    <x v="0"/>
    <d v="1930-07-17T00:00:00"/>
    <x v="0"/>
    <x v="2"/>
    <n v="4"/>
    <n v="0"/>
    <x v="5"/>
    <b v="0"/>
    <n v="4"/>
    <x v="0"/>
  </r>
  <r>
    <n v="8"/>
    <x v="0"/>
    <d v="1930-07-17T00:00:00"/>
    <x v="0"/>
    <x v="1"/>
    <n v="3"/>
    <n v="0"/>
    <x v="6"/>
    <b v="0"/>
    <n v="3"/>
    <x v="0"/>
  </r>
  <r>
    <n v="9"/>
    <x v="0"/>
    <d v="1930-07-18T00:00:00"/>
    <x v="0"/>
    <x v="6"/>
    <n v="1"/>
    <n v="0"/>
    <x v="3"/>
    <b v="1"/>
    <n v="1"/>
    <x v="0"/>
  </r>
  <r>
    <n v="10"/>
    <x v="0"/>
    <d v="1930-07-19T00:00:00"/>
    <x v="0"/>
    <x v="5"/>
    <n v="1"/>
    <n v="0"/>
    <x v="4"/>
    <b v="0"/>
    <n v="1"/>
    <x v="0"/>
  </r>
  <r>
    <n v="11"/>
    <x v="0"/>
    <d v="1930-07-19T00:00:00"/>
    <x v="0"/>
    <x v="4"/>
    <n v="6"/>
    <n v="3"/>
    <x v="0"/>
    <b v="0"/>
    <n v="9"/>
    <x v="0"/>
  </r>
  <r>
    <n v="12"/>
    <x v="0"/>
    <d v="1930-07-20T00:00:00"/>
    <x v="0"/>
    <x v="7"/>
    <n v="4"/>
    <n v="0"/>
    <x v="5"/>
    <b v="0"/>
    <n v="4"/>
    <x v="0"/>
  </r>
  <r>
    <n v="13"/>
    <x v="0"/>
    <d v="1930-07-20T00:00:00"/>
    <x v="0"/>
    <x v="8"/>
    <n v="1"/>
    <n v="0"/>
    <x v="1"/>
    <b v="0"/>
    <n v="1"/>
    <x v="0"/>
  </r>
  <r>
    <n v="14"/>
    <x v="0"/>
    <d v="1930-07-21T00:00:00"/>
    <x v="0"/>
    <x v="6"/>
    <n v="4"/>
    <n v="0"/>
    <x v="7"/>
    <b v="1"/>
    <n v="4"/>
    <x v="0"/>
  </r>
  <r>
    <n v="15"/>
    <x v="0"/>
    <d v="1930-07-22T00:00:00"/>
    <x v="0"/>
    <x v="4"/>
    <n v="3"/>
    <n v="1"/>
    <x v="8"/>
    <b v="0"/>
    <n v="4"/>
    <x v="0"/>
  </r>
  <r>
    <n v="16"/>
    <x v="0"/>
    <d v="1930-07-26T00:00:00"/>
    <x v="1"/>
    <x v="4"/>
    <n v="6"/>
    <n v="1"/>
    <x v="9"/>
    <b v="0"/>
    <n v="7"/>
    <x v="0"/>
  </r>
  <r>
    <n v="17"/>
    <x v="0"/>
    <d v="1930-07-27T00:00:00"/>
    <x v="1"/>
    <x v="6"/>
    <n v="6"/>
    <n v="1"/>
    <x v="10"/>
    <b v="1"/>
    <n v="7"/>
    <x v="0"/>
  </r>
  <r>
    <n v="18"/>
    <x v="0"/>
    <d v="1930-07-30T00:00:00"/>
    <x v="2"/>
    <x v="6"/>
    <n v="4"/>
    <n v="2"/>
    <x v="11"/>
    <b v="1"/>
    <n v="6"/>
    <x v="0"/>
  </r>
  <r>
    <n v="19"/>
    <x v="1"/>
    <d v="1934-05-27T00:00:00"/>
    <x v="3"/>
    <x v="9"/>
    <n v="3"/>
    <n v="2"/>
    <x v="4"/>
    <b v="0"/>
    <n v="5"/>
    <x v="0"/>
  </r>
  <r>
    <n v="20"/>
    <x v="1"/>
    <d v="1934-05-27T00:00:00"/>
    <x v="3"/>
    <x v="10"/>
    <n v="4"/>
    <n v="2"/>
    <x v="12"/>
    <b v="0"/>
    <n v="6"/>
    <x v="0"/>
  </r>
  <r>
    <n v="21"/>
    <x v="1"/>
    <d v="1934-05-27T00:00:00"/>
    <x v="3"/>
    <x v="11"/>
    <n v="3"/>
    <n v="2"/>
    <x v="13"/>
    <b v="0"/>
    <n v="5"/>
    <x v="0"/>
  </r>
  <r>
    <n v="22"/>
    <x v="1"/>
    <d v="1934-05-27T00:00:00"/>
    <x v="3"/>
    <x v="12"/>
    <n v="3"/>
    <n v="2"/>
    <x v="11"/>
    <b v="0"/>
    <n v="5"/>
    <x v="0"/>
  </r>
  <r>
    <n v="23"/>
    <x v="1"/>
    <d v="1934-05-27T00:00:00"/>
    <x v="3"/>
    <x v="13"/>
    <n v="5"/>
    <n v="2"/>
    <x v="1"/>
    <b v="0"/>
    <n v="7"/>
    <x v="0"/>
  </r>
  <r>
    <n v="24"/>
    <x v="1"/>
    <d v="1934-05-27T00:00:00"/>
    <x v="3"/>
    <x v="14"/>
    <n v="3"/>
    <n v="1"/>
    <x v="2"/>
    <b v="0"/>
    <n v="4"/>
    <x v="0"/>
  </r>
  <r>
    <n v="25"/>
    <x v="1"/>
    <d v="1934-05-27T00:00:00"/>
    <x v="3"/>
    <x v="15"/>
    <n v="7"/>
    <n v="1"/>
    <x v="9"/>
    <b v="1"/>
    <n v="8"/>
    <x v="0"/>
  </r>
  <r>
    <n v="26"/>
    <x v="1"/>
    <d v="1934-05-27T00:00:00"/>
    <x v="3"/>
    <x v="16"/>
    <n v="2"/>
    <n v="1"/>
    <x v="7"/>
    <b v="0"/>
    <n v="3"/>
    <x v="0"/>
  </r>
  <r>
    <n v="27"/>
    <x v="1"/>
    <d v="1934-05-31T00:00:00"/>
    <x v="4"/>
    <x v="16"/>
    <n v="3"/>
    <n v="2"/>
    <x v="14"/>
    <b v="0"/>
    <n v="5"/>
    <x v="0"/>
  </r>
  <r>
    <n v="28"/>
    <x v="1"/>
    <d v="1934-05-31T00:00:00"/>
    <x v="4"/>
    <x v="13"/>
    <n v="2"/>
    <n v="1"/>
    <x v="15"/>
    <b v="0"/>
    <n v="3"/>
    <x v="0"/>
  </r>
  <r>
    <n v="29"/>
    <x v="1"/>
    <d v="1934-05-31T00:00:00"/>
    <x v="4"/>
    <x v="15"/>
    <n v="1"/>
    <n v="1"/>
    <x v="16"/>
    <b v="1"/>
    <n v="2"/>
    <x v="1"/>
  </r>
  <r>
    <n v="30"/>
    <x v="1"/>
    <d v="1934-05-31T00:00:00"/>
    <x v="4"/>
    <x v="9"/>
    <n v="2"/>
    <n v="1"/>
    <x v="17"/>
    <b v="0"/>
    <n v="3"/>
    <x v="0"/>
  </r>
  <r>
    <n v="31"/>
    <x v="1"/>
    <d v="1934-06-01T00:00:00"/>
    <x v="4"/>
    <x v="15"/>
    <n v="1"/>
    <n v="0"/>
    <x v="16"/>
    <b v="1"/>
    <n v="1"/>
    <x v="0"/>
  </r>
  <r>
    <n v="32"/>
    <x v="1"/>
    <d v="1934-06-03T00:00:00"/>
    <x v="1"/>
    <x v="15"/>
    <n v="1"/>
    <n v="0"/>
    <x v="18"/>
    <b v="1"/>
    <n v="1"/>
    <x v="0"/>
  </r>
  <r>
    <n v="33"/>
    <x v="1"/>
    <d v="1934-06-03T00:00:00"/>
    <x v="1"/>
    <x v="16"/>
    <n v="3"/>
    <n v="1"/>
    <x v="19"/>
    <b v="0"/>
    <n v="4"/>
    <x v="0"/>
  </r>
  <r>
    <n v="34"/>
    <x v="1"/>
    <d v="1934-06-07T00:00:00"/>
    <x v="5"/>
    <x v="13"/>
    <n v="3"/>
    <n v="2"/>
    <x v="18"/>
    <b v="0"/>
    <n v="5"/>
    <x v="0"/>
  </r>
  <r>
    <n v="35"/>
    <x v="1"/>
    <d v="1934-06-10T00:00:00"/>
    <x v="2"/>
    <x v="15"/>
    <n v="2"/>
    <n v="1"/>
    <x v="20"/>
    <b v="1"/>
    <n v="3"/>
    <x v="0"/>
  </r>
  <r>
    <n v="36"/>
    <x v="2"/>
    <d v="1938-06-04T00:00:00"/>
    <x v="3"/>
    <x v="11"/>
    <n v="1"/>
    <n v="1"/>
    <x v="19"/>
    <b v="0"/>
    <n v="2"/>
    <x v="1"/>
  </r>
  <r>
    <n v="37"/>
    <x v="2"/>
    <d v="1938-06-05T00:00:00"/>
    <x v="3"/>
    <x v="10"/>
    <n v="6"/>
    <n v="0"/>
    <x v="21"/>
    <b v="0"/>
    <n v="6"/>
    <x v="0"/>
  </r>
  <r>
    <n v="38"/>
    <x v="2"/>
    <d v="1938-06-05T00:00:00"/>
    <x v="3"/>
    <x v="0"/>
    <n v="3"/>
    <n v="1"/>
    <x v="1"/>
    <b v="1"/>
    <n v="4"/>
    <x v="0"/>
  </r>
  <r>
    <n v="39"/>
    <x v="2"/>
    <d v="1938-06-05T00:00:00"/>
    <x v="3"/>
    <x v="17"/>
    <n v="3"/>
    <n v="3"/>
    <x v="7"/>
    <b v="0"/>
    <n v="6"/>
    <x v="1"/>
  </r>
  <r>
    <n v="40"/>
    <x v="2"/>
    <d v="1938-06-05T00:00:00"/>
    <x v="3"/>
    <x v="15"/>
    <n v="2"/>
    <n v="1"/>
    <x v="22"/>
    <b v="0"/>
    <n v="3"/>
    <x v="0"/>
  </r>
  <r>
    <n v="41"/>
    <x v="2"/>
    <d v="1938-06-05T00:00:00"/>
    <x v="3"/>
    <x v="7"/>
    <n v="6"/>
    <n v="5"/>
    <x v="23"/>
    <b v="0"/>
    <n v="11"/>
    <x v="0"/>
  </r>
  <r>
    <n v="42"/>
    <x v="2"/>
    <d v="1938-06-05T00:00:00"/>
    <x v="3"/>
    <x v="16"/>
    <n v="3"/>
    <n v="0"/>
    <x v="13"/>
    <b v="0"/>
    <n v="3"/>
    <x v="0"/>
  </r>
  <r>
    <n v="43"/>
    <x v="2"/>
    <d v="1938-06-09T00:00:00"/>
    <x v="3"/>
    <x v="17"/>
    <n v="2"/>
    <n v="1"/>
    <x v="7"/>
    <b v="0"/>
    <n v="3"/>
    <x v="0"/>
  </r>
  <r>
    <n v="44"/>
    <x v="2"/>
    <d v="1938-06-09T00:00:00"/>
    <x v="3"/>
    <x v="11"/>
    <n v="4"/>
    <n v="2"/>
    <x v="19"/>
    <b v="0"/>
    <n v="6"/>
    <x v="0"/>
  </r>
  <r>
    <n v="45"/>
    <x v="2"/>
    <d v="1938-06-12T00:00:00"/>
    <x v="4"/>
    <x v="7"/>
    <n v="1"/>
    <n v="1"/>
    <x v="20"/>
    <b v="0"/>
    <n v="2"/>
    <x v="1"/>
  </r>
  <r>
    <n v="46"/>
    <x v="2"/>
    <d v="1938-06-12T00:00:00"/>
    <x v="4"/>
    <x v="10"/>
    <n v="2"/>
    <n v="0"/>
    <x v="14"/>
    <b v="0"/>
    <n v="2"/>
    <x v="0"/>
  </r>
  <r>
    <n v="47"/>
    <x v="2"/>
    <d v="1938-06-12T00:00:00"/>
    <x v="4"/>
    <x v="12"/>
    <n v="8"/>
    <n v="0"/>
    <x v="24"/>
    <b v="0"/>
    <n v="8"/>
    <x v="0"/>
  </r>
  <r>
    <n v="48"/>
    <x v="2"/>
    <d v="1938-06-12T00:00:00"/>
    <x v="4"/>
    <x v="0"/>
    <n v="1"/>
    <n v="3"/>
    <x v="25"/>
    <b v="1"/>
    <n v="4"/>
    <x v="2"/>
  </r>
  <r>
    <n v="49"/>
    <x v="2"/>
    <d v="1938-06-14T00:00:00"/>
    <x v="4"/>
    <x v="7"/>
    <n v="2"/>
    <n v="1"/>
    <x v="20"/>
    <b v="0"/>
    <n v="3"/>
    <x v="0"/>
  </r>
  <r>
    <n v="50"/>
    <x v="2"/>
    <d v="1938-06-16T00:00:00"/>
    <x v="1"/>
    <x v="10"/>
    <n v="5"/>
    <n v="1"/>
    <x v="15"/>
    <b v="0"/>
    <n v="6"/>
    <x v="0"/>
  </r>
  <r>
    <n v="51"/>
    <x v="2"/>
    <d v="1938-06-16T00:00:00"/>
    <x v="1"/>
    <x v="15"/>
    <n v="2"/>
    <n v="1"/>
    <x v="2"/>
    <b v="0"/>
    <n v="3"/>
    <x v="0"/>
  </r>
  <r>
    <n v="52"/>
    <x v="2"/>
    <d v="1938-06-19T00:00:00"/>
    <x v="5"/>
    <x v="7"/>
    <n v="4"/>
    <n v="2"/>
    <x v="15"/>
    <b v="0"/>
    <n v="6"/>
    <x v="0"/>
  </r>
  <r>
    <n v="53"/>
    <x v="2"/>
    <d v="1938-06-19T00:00:00"/>
    <x v="2"/>
    <x v="15"/>
    <n v="4"/>
    <n v="2"/>
    <x v="17"/>
    <b v="0"/>
    <n v="6"/>
    <x v="0"/>
  </r>
  <r>
    <n v="54"/>
    <x v="3"/>
    <d v="1950-06-24T00:00:00"/>
    <x v="6"/>
    <x v="7"/>
    <n v="4"/>
    <n v="0"/>
    <x v="0"/>
    <b v="1"/>
    <n v="4"/>
    <x v="0"/>
  </r>
  <r>
    <n v="55"/>
    <x v="3"/>
    <d v="1950-06-25T00:00:00"/>
    <x v="6"/>
    <x v="18"/>
    <n v="2"/>
    <n v="0"/>
    <x v="8"/>
    <b v="0"/>
    <n v="2"/>
    <x v="0"/>
  </r>
  <r>
    <n v="56"/>
    <x v="3"/>
    <d v="1950-06-25T00:00:00"/>
    <x v="6"/>
    <x v="14"/>
    <n v="3"/>
    <n v="1"/>
    <x v="9"/>
    <b v="0"/>
    <n v="4"/>
    <x v="0"/>
  </r>
  <r>
    <n v="57"/>
    <x v="3"/>
    <d v="1950-06-25T00:00:00"/>
    <x v="6"/>
    <x v="12"/>
    <n v="3"/>
    <n v="2"/>
    <x v="25"/>
    <b v="0"/>
    <n v="5"/>
    <x v="0"/>
  </r>
  <r>
    <n v="58"/>
    <x v="3"/>
    <d v="1950-06-25T00:00:00"/>
    <x v="6"/>
    <x v="2"/>
    <n v="3"/>
    <n v="0"/>
    <x v="14"/>
    <b v="0"/>
    <n v="3"/>
    <x v="0"/>
  </r>
  <r>
    <n v="59"/>
    <x v="3"/>
    <d v="1950-06-28T00:00:00"/>
    <x v="6"/>
    <x v="7"/>
    <n v="2"/>
    <n v="2"/>
    <x v="14"/>
    <b v="1"/>
    <n v="4"/>
    <x v="1"/>
  </r>
  <r>
    <n v="60"/>
    <x v="3"/>
    <d v="1950-06-28T00:00:00"/>
    <x v="6"/>
    <x v="2"/>
    <n v="4"/>
    <n v="1"/>
    <x v="0"/>
    <b v="0"/>
    <n v="5"/>
    <x v="0"/>
  </r>
  <r>
    <n v="61"/>
    <x v="3"/>
    <d v="1950-06-29T00:00:00"/>
    <x v="6"/>
    <x v="14"/>
    <n v="2"/>
    <n v="0"/>
    <x v="8"/>
    <b v="0"/>
    <n v="2"/>
    <x v="0"/>
  </r>
  <r>
    <n v="62"/>
    <x v="3"/>
    <d v="1950-06-29T00:00:00"/>
    <x v="6"/>
    <x v="1"/>
    <n v="1"/>
    <n v="0"/>
    <x v="26"/>
    <b v="0"/>
    <n v="1"/>
    <x v="0"/>
  </r>
  <r>
    <n v="63"/>
    <x v="3"/>
    <d v="1950-06-29T00:00:00"/>
    <x v="6"/>
    <x v="12"/>
    <n v="2"/>
    <n v="2"/>
    <x v="6"/>
    <b v="0"/>
    <n v="4"/>
    <x v="1"/>
  </r>
  <r>
    <n v="64"/>
    <x v="3"/>
    <d v="1950-07-01T00:00:00"/>
    <x v="6"/>
    <x v="7"/>
    <n v="2"/>
    <n v="0"/>
    <x v="10"/>
    <b v="1"/>
    <n v="2"/>
    <x v="0"/>
  </r>
  <r>
    <n v="65"/>
    <x v="3"/>
    <d v="1950-07-02T00:00:00"/>
    <x v="6"/>
    <x v="14"/>
    <n v="1"/>
    <n v="0"/>
    <x v="26"/>
    <b v="0"/>
    <n v="1"/>
    <x v="0"/>
  </r>
  <r>
    <n v="66"/>
    <x v="3"/>
    <d v="1950-07-02T00:00:00"/>
    <x v="6"/>
    <x v="15"/>
    <n v="2"/>
    <n v="0"/>
    <x v="6"/>
    <b v="0"/>
    <n v="2"/>
    <x v="0"/>
  </r>
  <r>
    <n v="67"/>
    <x v="3"/>
    <d v="1950-07-02T00:00:00"/>
    <x v="6"/>
    <x v="6"/>
    <n v="8"/>
    <n v="0"/>
    <x v="5"/>
    <b v="0"/>
    <n v="8"/>
    <x v="0"/>
  </r>
  <r>
    <n v="68"/>
    <x v="3"/>
    <d v="1950-07-02T00:00:00"/>
    <x v="6"/>
    <x v="5"/>
    <n v="5"/>
    <n v="2"/>
    <x v="9"/>
    <b v="0"/>
    <n v="7"/>
    <x v="0"/>
  </r>
  <r>
    <n v="69"/>
    <x v="3"/>
    <d v="1950-07-02T00:00:00"/>
    <x v="6"/>
    <x v="11"/>
    <n v="2"/>
    <n v="1"/>
    <x v="0"/>
    <b v="0"/>
    <n v="3"/>
    <x v="0"/>
  </r>
  <r>
    <n v="70"/>
    <x v="3"/>
    <d v="1950-07-09T00:00:00"/>
    <x v="7"/>
    <x v="6"/>
    <n v="2"/>
    <n v="2"/>
    <x v="16"/>
    <b v="0"/>
    <n v="4"/>
    <x v="1"/>
  </r>
  <r>
    <n v="71"/>
    <x v="3"/>
    <d v="1950-07-09T00:00:00"/>
    <x v="7"/>
    <x v="7"/>
    <n v="7"/>
    <n v="1"/>
    <x v="15"/>
    <b v="1"/>
    <n v="8"/>
    <x v="0"/>
  </r>
  <r>
    <n v="72"/>
    <x v="3"/>
    <d v="1950-07-13T00:00:00"/>
    <x v="7"/>
    <x v="7"/>
    <n v="6"/>
    <n v="1"/>
    <x v="16"/>
    <b v="1"/>
    <n v="7"/>
    <x v="0"/>
  </r>
  <r>
    <n v="73"/>
    <x v="3"/>
    <d v="1950-07-13T00:00:00"/>
    <x v="7"/>
    <x v="6"/>
    <n v="3"/>
    <n v="2"/>
    <x v="15"/>
    <b v="0"/>
    <n v="5"/>
    <x v="0"/>
  </r>
  <r>
    <n v="74"/>
    <x v="3"/>
    <d v="1950-07-16T00:00:00"/>
    <x v="7"/>
    <x v="12"/>
    <n v="3"/>
    <n v="1"/>
    <x v="16"/>
    <b v="0"/>
    <n v="4"/>
    <x v="0"/>
  </r>
  <r>
    <n v="75"/>
    <x v="3"/>
    <d v="1950-07-16T00:00:00"/>
    <x v="7"/>
    <x v="6"/>
    <n v="2"/>
    <n v="1"/>
    <x v="2"/>
    <b v="1"/>
    <n v="3"/>
    <x v="0"/>
  </r>
  <r>
    <n v="76"/>
    <x v="4"/>
    <d v="1954-06-16T00:00:00"/>
    <x v="0"/>
    <x v="6"/>
    <n v="2"/>
    <n v="0"/>
    <x v="20"/>
    <b v="0"/>
    <n v="2"/>
    <x v="0"/>
  </r>
  <r>
    <n v="77"/>
    <x v="4"/>
    <d v="1954-06-16T00:00:00"/>
    <x v="0"/>
    <x v="9"/>
    <n v="1"/>
    <n v="0"/>
    <x v="27"/>
    <b v="0"/>
    <n v="1"/>
    <x v="0"/>
  </r>
  <r>
    <n v="78"/>
    <x v="4"/>
    <d v="1954-06-16T00:00:00"/>
    <x v="0"/>
    <x v="7"/>
    <n v="5"/>
    <n v="0"/>
    <x v="0"/>
    <b v="0"/>
    <n v="5"/>
    <x v="0"/>
  </r>
  <r>
    <n v="79"/>
    <x v="4"/>
    <d v="1954-06-16T00:00:00"/>
    <x v="0"/>
    <x v="2"/>
    <n v="1"/>
    <n v="0"/>
    <x v="4"/>
    <b v="0"/>
    <n v="1"/>
    <x v="0"/>
  </r>
  <r>
    <n v="80"/>
    <x v="4"/>
    <d v="1954-06-17T00:00:00"/>
    <x v="0"/>
    <x v="11"/>
    <n v="2"/>
    <n v="1"/>
    <x v="25"/>
    <b v="1"/>
    <n v="3"/>
    <x v="0"/>
  </r>
  <r>
    <n v="81"/>
    <x v="4"/>
    <d v="1954-06-17T00:00:00"/>
    <x v="0"/>
    <x v="13"/>
    <n v="4"/>
    <n v="1"/>
    <x v="28"/>
    <b v="0"/>
    <n v="5"/>
    <x v="0"/>
  </r>
  <r>
    <n v="82"/>
    <x v="4"/>
    <d v="1954-06-17T00:00:00"/>
    <x v="0"/>
    <x v="10"/>
    <n v="9"/>
    <n v="0"/>
    <x v="29"/>
    <b v="0"/>
    <n v="9"/>
    <x v="0"/>
  </r>
  <r>
    <n v="83"/>
    <x v="4"/>
    <d v="1954-06-17T00:00:00"/>
    <x v="0"/>
    <x v="18"/>
    <n v="4"/>
    <n v="4"/>
    <x v="1"/>
    <b v="0"/>
    <n v="8"/>
    <x v="1"/>
  </r>
  <r>
    <n v="84"/>
    <x v="4"/>
    <d v="1954-06-19T00:00:00"/>
    <x v="0"/>
    <x v="6"/>
    <n v="7"/>
    <n v="0"/>
    <x v="27"/>
    <b v="0"/>
    <n v="7"/>
    <x v="0"/>
  </r>
  <r>
    <n v="85"/>
    <x v="4"/>
    <d v="1954-06-19T00:00:00"/>
    <x v="0"/>
    <x v="9"/>
    <n v="5"/>
    <n v="0"/>
    <x v="20"/>
    <b v="0"/>
    <n v="5"/>
    <x v="0"/>
  </r>
  <r>
    <n v="86"/>
    <x v="4"/>
    <d v="1954-06-19T00:00:00"/>
    <x v="0"/>
    <x v="7"/>
    <n v="1"/>
    <n v="1"/>
    <x v="10"/>
    <b v="0"/>
    <n v="2"/>
    <x v="1"/>
  </r>
  <r>
    <n v="87"/>
    <x v="4"/>
    <d v="1954-06-19T00:00:00"/>
    <x v="0"/>
    <x v="0"/>
    <n v="3"/>
    <n v="2"/>
    <x v="0"/>
    <b v="0"/>
    <n v="5"/>
    <x v="0"/>
  </r>
  <r>
    <n v="88"/>
    <x v="4"/>
    <d v="1954-06-20T00:00:00"/>
    <x v="0"/>
    <x v="10"/>
    <n v="8"/>
    <n v="3"/>
    <x v="19"/>
    <b v="0"/>
    <n v="11"/>
    <x v="0"/>
  </r>
  <r>
    <n v="89"/>
    <x v="4"/>
    <d v="1954-06-20T00:00:00"/>
    <x v="0"/>
    <x v="19"/>
    <n v="7"/>
    <n v="0"/>
    <x v="29"/>
    <b v="0"/>
    <n v="7"/>
    <x v="0"/>
  </r>
  <r>
    <n v="90"/>
    <x v="4"/>
    <d v="1954-06-20T00:00:00"/>
    <x v="0"/>
    <x v="15"/>
    <n v="4"/>
    <n v="1"/>
    <x v="1"/>
    <b v="0"/>
    <n v="5"/>
    <x v="0"/>
  </r>
  <r>
    <n v="91"/>
    <x v="4"/>
    <d v="1954-06-20T00:00:00"/>
    <x v="0"/>
    <x v="11"/>
    <n v="0"/>
    <n v="2"/>
    <x v="26"/>
    <b v="1"/>
    <n v="2"/>
    <x v="2"/>
  </r>
  <r>
    <n v="92"/>
    <x v="4"/>
    <d v="1954-06-23T00:00:00"/>
    <x v="0"/>
    <x v="13"/>
    <n v="7"/>
    <n v="2"/>
    <x v="28"/>
    <b v="0"/>
    <n v="9"/>
    <x v="0"/>
  </r>
  <r>
    <n v="93"/>
    <x v="4"/>
    <d v="1954-06-23T00:00:00"/>
    <x v="0"/>
    <x v="11"/>
    <n v="4"/>
    <n v="1"/>
    <x v="25"/>
    <b v="1"/>
    <n v="5"/>
    <x v="0"/>
  </r>
  <r>
    <n v="94"/>
    <x v="4"/>
    <d v="1954-06-26T00:00:00"/>
    <x v="4"/>
    <x v="6"/>
    <n v="4"/>
    <n v="2"/>
    <x v="26"/>
    <b v="0"/>
    <n v="6"/>
    <x v="0"/>
  </r>
  <r>
    <n v="95"/>
    <x v="4"/>
    <d v="1954-06-26T00:00:00"/>
    <x v="4"/>
    <x v="11"/>
    <n v="5"/>
    <n v="7"/>
    <x v="18"/>
    <b v="1"/>
    <n v="12"/>
    <x v="2"/>
  </r>
  <r>
    <n v="96"/>
    <x v="4"/>
    <d v="1954-06-27T00:00:00"/>
    <x v="4"/>
    <x v="13"/>
    <n v="2"/>
    <n v="0"/>
    <x v="10"/>
    <b v="0"/>
    <n v="2"/>
    <x v="0"/>
  </r>
  <r>
    <n v="97"/>
    <x v="4"/>
    <d v="1954-06-27T00:00:00"/>
    <x v="4"/>
    <x v="10"/>
    <n v="4"/>
    <n v="2"/>
    <x v="2"/>
    <b v="0"/>
    <n v="6"/>
    <x v="0"/>
  </r>
  <r>
    <n v="98"/>
    <x v="4"/>
    <d v="1954-06-30T00:00:00"/>
    <x v="1"/>
    <x v="13"/>
    <n v="6"/>
    <n v="1"/>
    <x v="18"/>
    <b v="0"/>
    <n v="7"/>
    <x v="0"/>
  </r>
  <r>
    <n v="99"/>
    <x v="4"/>
    <d v="1954-06-30T00:00:00"/>
    <x v="1"/>
    <x v="10"/>
    <n v="4"/>
    <n v="2"/>
    <x v="30"/>
    <b v="0"/>
    <n v="6"/>
    <x v="0"/>
  </r>
  <r>
    <n v="100"/>
    <x v="4"/>
    <d v="1954-07-03T00:00:00"/>
    <x v="5"/>
    <x v="9"/>
    <n v="3"/>
    <n v="1"/>
    <x v="30"/>
    <b v="0"/>
    <n v="4"/>
    <x v="0"/>
  </r>
  <r>
    <n v="101"/>
    <x v="4"/>
    <d v="1954-07-04T00:00:00"/>
    <x v="2"/>
    <x v="13"/>
    <n v="3"/>
    <n v="2"/>
    <x v="17"/>
    <b v="0"/>
    <n v="5"/>
    <x v="0"/>
  </r>
  <r>
    <n v="102"/>
    <x v="5"/>
    <d v="1958-06-08T00:00:00"/>
    <x v="0"/>
    <x v="12"/>
    <n v="3"/>
    <n v="0"/>
    <x v="0"/>
    <b v="1"/>
    <n v="3"/>
    <x v="0"/>
  </r>
  <r>
    <n v="103"/>
    <x v="5"/>
    <d v="1958-06-08T00:00:00"/>
    <x v="0"/>
    <x v="20"/>
    <n v="2"/>
    <n v="2"/>
    <x v="26"/>
    <b v="0"/>
    <n v="4"/>
    <x v="1"/>
  </r>
  <r>
    <n v="104"/>
    <x v="5"/>
    <d v="1958-06-08T00:00:00"/>
    <x v="0"/>
    <x v="4"/>
    <n v="1"/>
    <n v="3"/>
    <x v="19"/>
    <b v="0"/>
    <n v="4"/>
    <x v="2"/>
  </r>
  <r>
    <n v="105"/>
    <x v="5"/>
    <d v="1958-06-08T00:00:00"/>
    <x v="0"/>
    <x v="10"/>
    <n v="1"/>
    <n v="1"/>
    <x v="31"/>
    <b v="0"/>
    <n v="2"/>
    <x v="1"/>
  </r>
  <r>
    <n v="106"/>
    <x v="5"/>
    <d v="1958-06-08T00:00:00"/>
    <x v="0"/>
    <x v="0"/>
    <n v="7"/>
    <n v="3"/>
    <x v="6"/>
    <b v="0"/>
    <n v="10"/>
    <x v="0"/>
  </r>
  <r>
    <n v="107"/>
    <x v="5"/>
    <d v="1958-06-08T00:00:00"/>
    <x v="0"/>
    <x v="2"/>
    <n v="1"/>
    <n v="1"/>
    <x v="27"/>
    <b v="0"/>
    <n v="2"/>
    <x v="1"/>
  </r>
  <r>
    <n v="108"/>
    <x v="5"/>
    <d v="1958-06-08T00:00:00"/>
    <x v="0"/>
    <x v="7"/>
    <n v="3"/>
    <n v="0"/>
    <x v="18"/>
    <b v="0"/>
    <n v="3"/>
    <x v="0"/>
  </r>
  <r>
    <n v="109"/>
    <x v="5"/>
    <d v="1958-06-08T00:00:00"/>
    <x v="0"/>
    <x v="21"/>
    <n v="1"/>
    <n v="0"/>
    <x v="20"/>
    <b v="0"/>
    <n v="1"/>
    <x v="0"/>
  </r>
  <r>
    <n v="110"/>
    <x v="5"/>
    <d v="1958-06-11T00:00:00"/>
    <x v="0"/>
    <x v="7"/>
    <n v="0"/>
    <n v="0"/>
    <x v="26"/>
    <b v="0"/>
    <n v="0"/>
    <x v="1"/>
  </r>
  <r>
    <n v="111"/>
    <x v="5"/>
    <d v="1958-06-11T00:00:00"/>
    <x v="0"/>
    <x v="22"/>
    <n v="1"/>
    <n v="1"/>
    <x v="31"/>
    <b v="0"/>
    <n v="2"/>
    <x v="1"/>
  </r>
  <r>
    <n v="112"/>
    <x v="5"/>
    <d v="1958-06-11T00:00:00"/>
    <x v="0"/>
    <x v="8"/>
    <n v="3"/>
    <n v="2"/>
    <x v="27"/>
    <b v="0"/>
    <n v="5"/>
    <x v="0"/>
  </r>
  <r>
    <n v="113"/>
    <x v="5"/>
    <d v="1958-06-11T00:00:00"/>
    <x v="0"/>
    <x v="2"/>
    <n v="3"/>
    <n v="2"/>
    <x v="4"/>
    <b v="0"/>
    <n v="5"/>
    <x v="0"/>
  </r>
  <r>
    <n v="114"/>
    <x v="5"/>
    <d v="1958-06-11T00:00:00"/>
    <x v="0"/>
    <x v="20"/>
    <n v="2"/>
    <n v="0"/>
    <x v="18"/>
    <b v="0"/>
    <n v="2"/>
    <x v="0"/>
  </r>
  <r>
    <n v="115"/>
    <x v="5"/>
    <d v="1958-06-11T00:00:00"/>
    <x v="0"/>
    <x v="13"/>
    <n v="2"/>
    <n v="2"/>
    <x v="20"/>
    <b v="0"/>
    <n v="4"/>
    <x v="1"/>
  </r>
  <r>
    <n v="116"/>
    <x v="5"/>
    <d v="1958-06-11T00:00:00"/>
    <x v="0"/>
    <x v="4"/>
    <n v="3"/>
    <n v="1"/>
    <x v="32"/>
    <b v="0"/>
    <n v="4"/>
    <x v="0"/>
  </r>
  <r>
    <n v="117"/>
    <x v="5"/>
    <d v="1958-06-12T00:00:00"/>
    <x v="0"/>
    <x v="12"/>
    <n v="2"/>
    <n v="1"/>
    <x v="17"/>
    <b v="1"/>
    <n v="3"/>
    <x v="0"/>
  </r>
  <r>
    <n v="118"/>
    <x v="5"/>
    <d v="1958-06-15T00:00:00"/>
    <x v="0"/>
    <x v="12"/>
    <n v="0"/>
    <n v="0"/>
    <x v="31"/>
    <b v="1"/>
    <n v="0"/>
    <x v="1"/>
  </r>
  <r>
    <n v="119"/>
    <x v="5"/>
    <d v="1958-06-15T00:00:00"/>
    <x v="0"/>
    <x v="7"/>
    <n v="2"/>
    <n v="0"/>
    <x v="33"/>
    <b v="0"/>
    <n v="2"/>
    <x v="0"/>
  </r>
  <r>
    <n v="120"/>
    <x v="5"/>
    <d v="1958-06-15T00:00:00"/>
    <x v="0"/>
    <x v="13"/>
    <n v="2"/>
    <n v="2"/>
    <x v="32"/>
    <b v="0"/>
    <n v="4"/>
    <x v="1"/>
  </r>
  <r>
    <n v="121"/>
    <x v="5"/>
    <d v="1958-06-15T00:00:00"/>
    <x v="0"/>
    <x v="10"/>
    <n v="4"/>
    <n v="0"/>
    <x v="0"/>
    <b v="0"/>
    <n v="4"/>
    <x v="0"/>
  </r>
  <r>
    <n v="122"/>
    <x v="5"/>
    <d v="1958-06-15T00:00:00"/>
    <x v="0"/>
    <x v="8"/>
    <n v="3"/>
    <n v="3"/>
    <x v="10"/>
    <b v="0"/>
    <n v="6"/>
    <x v="1"/>
  </r>
  <r>
    <n v="123"/>
    <x v="5"/>
    <d v="1958-06-15T00:00:00"/>
    <x v="0"/>
    <x v="0"/>
    <n v="2"/>
    <n v="1"/>
    <x v="27"/>
    <b v="0"/>
    <n v="3"/>
    <x v="0"/>
  </r>
  <r>
    <n v="124"/>
    <x v="5"/>
    <d v="1958-06-15T00:00:00"/>
    <x v="0"/>
    <x v="18"/>
    <n v="2"/>
    <n v="2"/>
    <x v="18"/>
    <b v="0"/>
    <n v="4"/>
    <x v="1"/>
  </r>
  <r>
    <n v="125"/>
    <x v="5"/>
    <d v="1958-06-15T00:00:00"/>
    <x v="0"/>
    <x v="16"/>
    <n v="6"/>
    <n v="1"/>
    <x v="11"/>
    <b v="0"/>
    <n v="7"/>
    <x v="0"/>
  </r>
  <r>
    <n v="126"/>
    <x v="5"/>
    <d v="1958-06-17T00:00:00"/>
    <x v="0"/>
    <x v="20"/>
    <n v="1"/>
    <n v="0"/>
    <x v="26"/>
    <b v="0"/>
    <n v="1"/>
    <x v="0"/>
  </r>
  <r>
    <n v="127"/>
    <x v="5"/>
    <d v="1958-06-17T00:00:00"/>
    <x v="0"/>
    <x v="21"/>
    <n v="2"/>
    <n v="1"/>
    <x v="20"/>
    <b v="0"/>
    <n v="3"/>
    <x v="0"/>
  </r>
  <r>
    <n v="128"/>
    <x v="5"/>
    <d v="1958-06-17T00:00:00"/>
    <x v="0"/>
    <x v="23"/>
    <n v="2"/>
    <n v="1"/>
    <x v="17"/>
    <b v="0"/>
    <n v="3"/>
    <x v="0"/>
  </r>
  <r>
    <n v="129"/>
    <x v="5"/>
    <d v="1958-06-19T00:00:00"/>
    <x v="4"/>
    <x v="7"/>
    <n v="1"/>
    <n v="0"/>
    <x v="31"/>
    <b v="0"/>
    <n v="1"/>
    <x v="0"/>
  </r>
  <r>
    <n v="130"/>
    <x v="5"/>
    <d v="1958-06-19T00:00:00"/>
    <x v="4"/>
    <x v="13"/>
    <n v="1"/>
    <n v="0"/>
    <x v="10"/>
    <b v="0"/>
    <n v="1"/>
    <x v="0"/>
  </r>
  <r>
    <n v="131"/>
    <x v="5"/>
    <d v="1958-06-19T00:00:00"/>
    <x v="4"/>
    <x v="12"/>
    <n v="2"/>
    <n v="0"/>
    <x v="33"/>
    <b v="1"/>
    <n v="2"/>
    <x v="0"/>
  </r>
  <r>
    <n v="132"/>
    <x v="5"/>
    <d v="1958-06-19T00:00:00"/>
    <x v="4"/>
    <x v="0"/>
    <n v="4"/>
    <n v="0"/>
    <x v="32"/>
    <b v="0"/>
    <n v="4"/>
    <x v="0"/>
  </r>
  <r>
    <n v="133"/>
    <x v="5"/>
    <d v="1958-06-24T00:00:00"/>
    <x v="1"/>
    <x v="12"/>
    <n v="3"/>
    <n v="1"/>
    <x v="19"/>
    <b v="1"/>
    <n v="4"/>
    <x v="0"/>
  </r>
  <r>
    <n v="134"/>
    <x v="5"/>
    <d v="1958-06-24T00:00:00"/>
    <x v="1"/>
    <x v="7"/>
    <n v="5"/>
    <n v="2"/>
    <x v="4"/>
    <b v="0"/>
    <n v="7"/>
    <x v="0"/>
  </r>
  <r>
    <n v="135"/>
    <x v="5"/>
    <d v="1958-06-28T00:00:00"/>
    <x v="5"/>
    <x v="0"/>
    <n v="6"/>
    <n v="3"/>
    <x v="19"/>
    <b v="0"/>
    <n v="9"/>
    <x v="0"/>
  </r>
  <r>
    <n v="136"/>
    <x v="5"/>
    <d v="1958-06-29T00:00:00"/>
    <x v="2"/>
    <x v="12"/>
    <n v="2"/>
    <n v="5"/>
    <x v="2"/>
    <b v="1"/>
    <n v="7"/>
    <x v="2"/>
  </r>
  <r>
    <n v="137"/>
    <x v="6"/>
    <d v="1962-05-30T00:00:00"/>
    <x v="0"/>
    <x v="6"/>
    <n v="2"/>
    <n v="1"/>
    <x v="34"/>
    <b v="0"/>
    <n v="3"/>
    <x v="0"/>
  </r>
  <r>
    <n v="138"/>
    <x v="6"/>
    <d v="1962-05-30T00:00:00"/>
    <x v="0"/>
    <x v="7"/>
    <n v="2"/>
    <n v="0"/>
    <x v="0"/>
    <b v="0"/>
    <n v="2"/>
    <x v="0"/>
  </r>
  <r>
    <n v="139"/>
    <x v="6"/>
    <d v="1962-05-30T00:00:00"/>
    <x v="0"/>
    <x v="4"/>
    <n v="1"/>
    <n v="0"/>
    <x v="35"/>
    <b v="0"/>
    <n v="1"/>
    <x v="0"/>
  </r>
  <r>
    <n v="140"/>
    <x v="6"/>
    <d v="1962-05-30T00:00:00"/>
    <x v="0"/>
    <x v="5"/>
    <n v="3"/>
    <n v="1"/>
    <x v="14"/>
    <b v="1"/>
    <n v="4"/>
    <x v="0"/>
  </r>
  <r>
    <n v="141"/>
    <x v="6"/>
    <d v="1962-05-31T00:00:00"/>
    <x v="0"/>
    <x v="20"/>
    <n v="2"/>
    <n v="0"/>
    <x v="10"/>
    <b v="0"/>
    <n v="2"/>
    <x v="0"/>
  </r>
  <r>
    <n v="142"/>
    <x v="6"/>
    <d v="1962-05-31T00:00:00"/>
    <x v="0"/>
    <x v="16"/>
    <n v="1"/>
    <n v="0"/>
    <x v="16"/>
    <b v="0"/>
    <n v="1"/>
    <x v="0"/>
  </r>
  <r>
    <n v="143"/>
    <x v="6"/>
    <d v="1962-05-31T00:00:00"/>
    <x v="0"/>
    <x v="10"/>
    <n v="2"/>
    <n v="1"/>
    <x v="26"/>
    <b v="0"/>
    <n v="3"/>
    <x v="0"/>
  </r>
  <r>
    <n v="144"/>
    <x v="6"/>
    <d v="1962-05-31T00:00:00"/>
    <x v="0"/>
    <x v="13"/>
    <n v="0"/>
    <n v="0"/>
    <x v="25"/>
    <b v="0"/>
    <n v="0"/>
    <x v="1"/>
  </r>
  <r>
    <n v="145"/>
    <x v="6"/>
    <d v="1962-06-02T00:00:00"/>
    <x v="0"/>
    <x v="2"/>
    <n v="3"/>
    <n v="1"/>
    <x v="30"/>
    <b v="0"/>
    <n v="4"/>
    <x v="0"/>
  </r>
  <r>
    <n v="146"/>
    <x v="6"/>
    <d v="1962-06-02T00:00:00"/>
    <x v="0"/>
    <x v="7"/>
    <n v="0"/>
    <n v="0"/>
    <x v="20"/>
    <b v="0"/>
    <n v="0"/>
    <x v="1"/>
  </r>
  <r>
    <n v="147"/>
    <x v="6"/>
    <d v="1962-06-02T00:00:00"/>
    <x v="0"/>
    <x v="18"/>
    <n v="3"/>
    <n v="1"/>
    <x v="11"/>
    <b v="0"/>
    <n v="4"/>
    <x v="0"/>
  </r>
  <r>
    <n v="148"/>
    <x v="6"/>
    <d v="1962-06-02T00:00:00"/>
    <x v="0"/>
    <x v="5"/>
    <n v="2"/>
    <n v="0"/>
    <x v="25"/>
    <b v="1"/>
    <n v="2"/>
    <x v="0"/>
  </r>
  <r>
    <n v="149"/>
    <x v="6"/>
    <d v="1962-06-03T00:00:00"/>
    <x v="0"/>
    <x v="20"/>
    <n v="4"/>
    <n v="4"/>
    <x v="34"/>
    <b v="0"/>
    <n v="8"/>
    <x v="1"/>
  </r>
  <r>
    <n v="150"/>
    <x v="6"/>
    <d v="1962-06-03T00:00:00"/>
    <x v="0"/>
    <x v="14"/>
    <n v="1"/>
    <n v="0"/>
    <x v="0"/>
    <b v="0"/>
    <n v="1"/>
    <x v="0"/>
  </r>
  <r>
    <n v="151"/>
    <x v="6"/>
    <d v="1962-06-03T00:00:00"/>
    <x v="0"/>
    <x v="10"/>
    <n v="6"/>
    <n v="1"/>
    <x v="35"/>
    <b v="0"/>
    <n v="7"/>
    <x v="0"/>
  </r>
  <r>
    <n v="152"/>
    <x v="6"/>
    <d v="1962-06-03T00:00:00"/>
    <x v="0"/>
    <x v="13"/>
    <n v="2"/>
    <n v="1"/>
    <x v="14"/>
    <b v="0"/>
    <n v="3"/>
    <x v="0"/>
  </r>
  <r>
    <n v="153"/>
    <x v="6"/>
    <d v="1962-06-06T00:00:00"/>
    <x v="0"/>
    <x v="20"/>
    <n v="2"/>
    <n v="1"/>
    <x v="30"/>
    <b v="0"/>
    <n v="3"/>
    <x v="0"/>
  </r>
  <r>
    <n v="154"/>
    <x v="6"/>
    <d v="1962-06-06T00:00:00"/>
    <x v="0"/>
    <x v="7"/>
    <n v="2"/>
    <n v="1"/>
    <x v="16"/>
    <b v="0"/>
    <n v="3"/>
    <x v="0"/>
  </r>
  <r>
    <n v="155"/>
    <x v="6"/>
    <d v="1962-06-06T00:00:00"/>
    <x v="0"/>
    <x v="10"/>
    <n v="0"/>
    <n v="0"/>
    <x v="11"/>
    <b v="0"/>
    <n v="0"/>
    <x v="1"/>
  </r>
  <r>
    <n v="156"/>
    <x v="6"/>
    <d v="1962-06-06T00:00:00"/>
    <x v="0"/>
    <x v="5"/>
    <n v="0"/>
    <n v="2"/>
    <x v="19"/>
    <b v="1"/>
    <n v="2"/>
    <x v="2"/>
  </r>
  <r>
    <n v="157"/>
    <x v="6"/>
    <d v="1962-06-07T00:00:00"/>
    <x v="0"/>
    <x v="2"/>
    <n v="5"/>
    <n v="0"/>
    <x v="34"/>
    <b v="0"/>
    <n v="5"/>
    <x v="0"/>
  </r>
  <r>
    <n v="158"/>
    <x v="6"/>
    <d v="1962-06-07T00:00:00"/>
    <x v="0"/>
    <x v="22"/>
    <n v="3"/>
    <n v="1"/>
    <x v="20"/>
    <b v="0"/>
    <n v="4"/>
    <x v="0"/>
  </r>
  <r>
    <n v="159"/>
    <x v="6"/>
    <d v="1962-06-07T00:00:00"/>
    <x v="0"/>
    <x v="18"/>
    <n v="0"/>
    <n v="0"/>
    <x v="35"/>
    <b v="0"/>
    <n v="0"/>
    <x v="1"/>
  </r>
  <r>
    <n v="160"/>
    <x v="6"/>
    <d v="1962-06-07T00:00:00"/>
    <x v="0"/>
    <x v="15"/>
    <n v="3"/>
    <n v="0"/>
    <x v="14"/>
    <b v="0"/>
    <n v="3"/>
    <x v="0"/>
  </r>
  <r>
    <n v="161"/>
    <x v="6"/>
    <d v="1962-06-10T00:00:00"/>
    <x v="4"/>
    <x v="5"/>
    <n v="2"/>
    <n v="1"/>
    <x v="33"/>
    <b v="1"/>
    <n v="3"/>
    <x v="0"/>
  </r>
  <r>
    <n v="162"/>
    <x v="6"/>
    <d v="1962-06-10T00:00:00"/>
    <x v="4"/>
    <x v="7"/>
    <n v="3"/>
    <n v="1"/>
    <x v="26"/>
    <b v="0"/>
    <n v="4"/>
    <x v="0"/>
  </r>
  <r>
    <n v="163"/>
    <x v="6"/>
    <d v="1962-06-10T00:00:00"/>
    <x v="4"/>
    <x v="16"/>
    <n v="1"/>
    <n v="0"/>
    <x v="17"/>
    <b v="0"/>
    <n v="1"/>
    <x v="0"/>
  </r>
  <r>
    <n v="164"/>
    <x v="6"/>
    <d v="1962-06-10T00:00:00"/>
    <x v="4"/>
    <x v="2"/>
    <n v="1"/>
    <n v="0"/>
    <x v="19"/>
    <b v="0"/>
    <n v="1"/>
    <x v="0"/>
  </r>
  <r>
    <n v="165"/>
    <x v="6"/>
    <d v="1962-06-13T00:00:00"/>
    <x v="1"/>
    <x v="16"/>
    <n v="3"/>
    <n v="1"/>
    <x v="10"/>
    <b v="0"/>
    <n v="4"/>
    <x v="0"/>
  </r>
  <r>
    <n v="166"/>
    <x v="6"/>
    <d v="1962-06-13T00:00:00"/>
    <x v="1"/>
    <x v="5"/>
    <n v="2"/>
    <n v="4"/>
    <x v="2"/>
    <b v="1"/>
    <n v="6"/>
    <x v="2"/>
  </r>
  <r>
    <n v="167"/>
    <x v="6"/>
    <d v="1962-06-16T00:00:00"/>
    <x v="5"/>
    <x v="5"/>
    <n v="1"/>
    <n v="0"/>
    <x v="10"/>
    <b v="1"/>
    <n v="1"/>
    <x v="0"/>
  </r>
  <r>
    <n v="168"/>
    <x v="6"/>
    <d v="1962-06-17T00:00:00"/>
    <x v="2"/>
    <x v="7"/>
    <n v="3"/>
    <n v="1"/>
    <x v="20"/>
    <b v="0"/>
    <n v="4"/>
    <x v="0"/>
  </r>
  <r>
    <n v="169"/>
    <x v="7"/>
    <d v="1966-07-11T00:00:00"/>
    <x v="0"/>
    <x v="18"/>
    <n v="0"/>
    <n v="0"/>
    <x v="30"/>
    <b v="1"/>
    <n v="0"/>
    <x v="1"/>
  </r>
  <r>
    <n v="170"/>
    <x v="7"/>
    <d v="1966-07-12T00:00:00"/>
    <x v="0"/>
    <x v="13"/>
    <n v="5"/>
    <n v="0"/>
    <x v="14"/>
    <b v="0"/>
    <n v="5"/>
    <x v="0"/>
  </r>
  <r>
    <n v="171"/>
    <x v="7"/>
    <d v="1966-07-12T00:00:00"/>
    <x v="0"/>
    <x v="7"/>
    <n v="2"/>
    <n v="0"/>
    <x v="35"/>
    <b v="0"/>
    <n v="2"/>
    <x v="0"/>
  </r>
  <r>
    <n v="172"/>
    <x v="7"/>
    <d v="1966-07-12T00:00:00"/>
    <x v="0"/>
    <x v="20"/>
    <n v="3"/>
    <n v="0"/>
    <x v="36"/>
    <b v="0"/>
    <n v="3"/>
    <x v="0"/>
  </r>
  <r>
    <n v="173"/>
    <x v="7"/>
    <d v="1966-07-13T00:00:00"/>
    <x v="0"/>
    <x v="0"/>
    <n v="1"/>
    <n v="1"/>
    <x v="0"/>
    <b v="0"/>
    <n v="2"/>
    <x v="1"/>
  </r>
  <r>
    <n v="174"/>
    <x v="7"/>
    <d v="1966-07-13T00:00:00"/>
    <x v="0"/>
    <x v="24"/>
    <n v="3"/>
    <n v="1"/>
    <x v="17"/>
    <b v="0"/>
    <n v="4"/>
    <x v="0"/>
  </r>
  <r>
    <n v="175"/>
    <x v="7"/>
    <d v="1966-07-13T00:00:00"/>
    <x v="0"/>
    <x v="4"/>
    <n v="2"/>
    <n v="1"/>
    <x v="16"/>
    <b v="0"/>
    <n v="3"/>
    <x v="0"/>
  </r>
  <r>
    <n v="176"/>
    <x v="7"/>
    <d v="1966-07-13T00:00:00"/>
    <x v="0"/>
    <x v="15"/>
    <n v="2"/>
    <n v="0"/>
    <x v="8"/>
    <b v="0"/>
    <n v="2"/>
    <x v="0"/>
  </r>
  <r>
    <n v="177"/>
    <x v="7"/>
    <d v="1966-07-15T00:00:00"/>
    <x v="0"/>
    <x v="6"/>
    <n v="2"/>
    <n v="1"/>
    <x v="4"/>
    <b v="0"/>
    <n v="3"/>
    <x v="0"/>
  </r>
  <r>
    <n v="178"/>
    <x v="7"/>
    <d v="1966-07-15T00:00:00"/>
    <x v="0"/>
    <x v="14"/>
    <n v="2"/>
    <n v="1"/>
    <x v="14"/>
    <b v="0"/>
    <n v="3"/>
    <x v="0"/>
  </r>
  <r>
    <n v="179"/>
    <x v="7"/>
    <d v="1966-07-15T00:00:00"/>
    <x v="0"/>
    <x v="10"/>
    <n v="3"/>
    <n v="1"/>
    <x v="2"/>
    <b v="0"/>
    <n v="4"/>
    <x v="0"/>
  </r>
  <r>
    <n v="180"/>
    <x v="7"/>
    <d v="1966-07-15T00:00:00"/>
    <x v="0"/>
    <x v="25"/>
    <n v="1"/>
    <n v="1"/>
    <x v="8"/>
    <b v="0"/>
    <n v="2"/>
    <x v="1"/>
  </r>
  <r>
    <n v="181"/>
    <x v="7"/>
    <d v="1966-07-16T00:00:00"/>
    <x v="0"/>
    <x v="24"/>
    <n v="3"/>
    <n v="0"/>
    <x v="35"/>
    <b v="0"/>
    <n v="3"/>
    <x v="0"/>
  </r>
  <r>
    <n v="182"/>
    <x v="7"/>
    <d v="1966-07-16T00:00:00"/>
    <x v="0"/>
    <x v="13"/>
    <n v="0"/>
    <n v="0"/>
    <x v="11"/>
    <b v="0"/>
    <n v="0"/>
    <x v="1"/>
  </r>
  <r>
    <n v="183"/>
    <x v="7"/>
    <d v="1966-07-16T00:00:00"/>
    <x v="0"/>
    <x v="20"/>
    <n v="1"/>
    <n v="0"/>
    <x v="25"/>
    <b v="0"/>
    <n v="1"/>
    <x v="0"/>
  </r>
  <r>
    <n v="184"/>
    <x v="7"/>
    <d v="1966-07-16T00:00:00"/>
    <x v="0"/>
    <x v="18"/>
    <n v="2"/>
    <n v="0"/>
    <x v="0"/>
    <b v="1"/>
    <n v="2"/>
    <x v="0"/>
  </r>
  <r>
    <n v="185"/>
    <x v="7"/>
    <d v="1966-07-19T00:00:00"/>
    <x v="0"/>
    <x v="6"/>
    <n v="0"/>
    <n v="0"/>
    <x v="0"/>
    <b v="0"/>
    <n v="0"/>
    <x v="1"/>
  </r>
  <r>
    <n v="186"/>
    <x v="7"/>
    <d v="1966-07-19T00:00:00"/>
    <x v="0"/>
    <x v="4"/>
    <n v="2"/>
    <n v="0"/>
    <x v="14"/>
    <b v="0"/>
    <n v="2"/>
    <x v="0"/>
  </r>
  <r>
    <n v="187"/>
    <x v="7"/>
    <d v="1966-07-19T00:00:00"/>
    <x v="0"/>
    <x v="24"/>
    <n v="3"/>
    <n v="1"/>
    <x v="2"/>
    <b v="0"/>
    <n v="4"/>
    <x v="0"/>
  </r>
  <r>
    <n v="188"/>
    <x v="7"/>
    <d v="1966-07-19T00:00:00"/>
    <x v="0"/>
    <x v="25"/>
    <n v="1"/>
    <n v="0"/>
    <x v="25"/>
    <b v="0"/>
    <n v="1"/>
    <x v="0"/>
  </r>
  <r>
    <n v="189"/>
    <x v="7"/>
    <d v="1966-07-20T00:00:00"/>
    <x v="0"/>
    <x v="18"/>
    <n v="2"/>
    <n v="0"/>
    <x v="4"/>
    <b v="1"/>
    <n v="2"/>
    <x v="0"/>
  </r>
  <r>
    <n v="190"/>
    <x v="7"/>
    <d v="1966-07-20T00:00:00"/>
    <x v="0"/>
    <x v="10"/>
    <n v="3"/>
    <n v="1"/>
    <x v="35"/>
    <b v="0"/>
    <n v="4"/>
    <x v="0"/>
  </r>
  <r>
    <n v="191"/>
    <x v="7"/>
    <d v="1966-07-20T00:00:00"/>
    <x v="0"/>
    <x v="13"/>
    <n v="2"/>
    <n v="1"/>
    <x v="16"/>
    <b v="0"/>
    <n v="3"/>
    <x v="0"/>
  </r>
  <r>
    <n v="192"/>
    <x v="7"/>
    <d v="1966-07-20T00:00:00"/>
    <x v="0"/>
    <x v="20"/>
    <n v="2"/>
    <n v="1"/>
    <x v="8"/>
    <b v="0"/>
    <n v="3"/>
    <x v="0"/>
  </r>
  <r>
    <n v="193"/>
    <x v="7"/>
    <d v="1966-07-23T00:00:00"/>
    <x v="4"/>
    <x v="18"/>
    <n v="1"/>
    <n v="0"/>
    <x v="11"/>
    <b v="1"/>
    <n v="1"/>
    <x v="0"/>
  </r>
  <r>
    <n v="194"/>
    <x v="7"/>
    <d v="1966-07-23T00:00:00"/>
    <x v="4"/>
    <x v="13"/>
    <n v="4"/>
    <n v="0"/>
    <x v="30"/>
    <b v="0"/>
    <n v="4"/>
    <x v="0"/>
  </r>
  <r>
    <n v="195"/>
    <x v="7"/>
    <d v="1966-07-23T00:00:00"/>
    <x v="4"/>
    <x v="20"/>
    <n v="2"/>
    <n v="1"/>
    <x v="17"/>
    <b v="0"/>
    <n v="3"/>
    <x v="0"/>
  </r>
  <r>
    <n v="196"/>
    <x v="7"/>
    <d v="1966-07-23T00:00:00"/>
    <x v="4"/>
    <x v="24"/>
    <n v="5"/>
    <n v="3"/>
    <x v="36"/>
    <b v="0"/>
    <n v="8"/>
    <x v="0"/>
  </r>
  <r>
    <n v="197"/>
    <x v="7"/>
    <d v="1966-07-25T00:00:00"/>
    <x v="1"/>
    <x v="13"/>
    <n v="2"/>
    <n v="1"/>
    <x v="33"/>
    <b v="0"/>
    <n v="3"/>
    <x v="0"/>
  </r>
  <r>
    <n v="198"/>
    <x v="7"/>
    <d v="1966-07-26T00:00:00"/>
    <x v="1"/>
    <x v="18"/>
    <n v="2"/>
    <n v="1"/>
    <x v="37"/>
    <b v="1"/>
    <n v="3"/>
    <x v="0"/>
  </r>
  <r>
    <n v="199"/>
    <x v="7"/>
    <d v="1966-07-28T00:00:00"/>
    <x v="5"/>
    <x v="24"/>
    <n v="2"/>
    <n v="1"/>
    <x v="33"/>
    <b v="0"/>
    <n v="3"/>
    <x v="0"/>
  </r>
  <r>
    <n v="200"/>
    <x v="7"/>
    <d v="1966-07-30T00:00:00"/>
    <x v="2"/>
    <x v="18"/>
    <n v="4"/>
    <n v="2"/>
    <x v="19"/>
    <b v="1"/>
    <n v="6"/>
    <x v="0"/>
  </r>
  <r>
    <n v="201"/>
    <x v="8"/>
    <d v="1970-05-31T00:00:00"/>
    <x v="0"/>
    <x v="22"/>
    <n v="0"/>
    <n v="0"/>
    <x v="33"/>
    <b v="1"/>
    <n v="0"/>
    <x v="1"/>
  </r>
  <r>
    <n v="202"/>
    <x v="8"/>
    <d v="1970-06-02T00:00:00"/>
    <x v="0"/>
    <x v="6"/>
    <n v="2"/>
    <n v="0"/>
    <x v="38"/>
    <b v="0"/>
    <n v="2"/>
    <x v="0"/>
  </r>
  <r>
    <n v="203"/>
    <x v="8"/>
    <d v="1970-06-02T00:00:00"/>
    <x v="0"/>
    <x v="26"/>
    <n v="3"/>
    <n v="2"/>
    <x v="35"/>
    <b v="0"/>
    <n v="5"/>
    <x v="0"/>
  </r>
  <r>
    <n v="204"/>
    <x v="8"/>
    <d v="1970-06-02T00:00:00"/>
    <x v="0"/>
    <x v="18"/>
    <n v="1"/>
    <n v="0"/>
    <x v="7"/>
    <b v="0"/>
    <n v="1"/>
    <x v="0"/>
  </r>
  <r>
    <n v="205"/>
    <x v="8"/>
    <d v="1970-06-03T00:00:00"/>
    <x v="0"/>
    <x v="15"/>
    <n v="1"/>
    <n v="0"/>
    <x v="15"/>
    <b v="0"/>
    <n v="1"/>
    <x v="0"/>
  </r>
  <r>
    <n v="206"/>
    <x v="8"/>
    <d v="1970-06-03T00:00:00"/>
    <x v="0"/>
    <x v="13"/>
    <n v="2"/>
    <n v="1"/>
    <x v="39"/>
    <b v="0"/>
    <n v="3"/>
    <x v="0"/>
  </r>
  <r>
    <n v="207"/>
    <x v="8"/>
    <d v="1970-06-03T00:00:00"/>
    <x v="0"/>
    <x v="7"/>
    <n v="4"/>
    <n v="1"/>
    <x v="20"/>
    <b v="0"/>
    <n v="5"/>
    <x v="0"/>
  </r>
  <r>
    <n v="208"/>
    <x v="8"/>
    <d v="1970-06-03T00:00:00"/>
    <x v="0"/>
    <x v="27"/>
    <n v="3"/>
    <n v="0"/>
    <x v="40"/>
    <b v="0"/>
    <n v="3"/>
    <x v="0"/>
  </r>
  <r>
    <n v="209"/>
    <x v="8"/>
    <d v="1970-06-06T00:00:00"/>
    <x v="0"/>
    <x v="6"/>
    <n v="0"/>
    <n v="0"/>
    <x v="25"/>
    <b v="0"/>
    <n v="0"/>
    <x v="1"/>
  </r>
  <r>
    <n v="210"/>
    <x v="8"/>
    <d v="1970-06-06T00:00:00"/>
    <x v="0"/>
    <x v="26"/>
    <n v="3"/>
    <n v="0"/>
    <x v="39"/>
    <b v="0"/>
    <n v="3"/>
    <x v="0"/>
  </r>
  <r>
    <n v="211"/>
    <x v="8"/>
    <d v="1970-06-06T00:00:00"/>
    <x v="0"/>
    <x v="3"/>
    <n v="2"/>
    <n v="1"/>
    <x v="20"/>
    <b v="0"/>
    <n v="3"/>
    <x v="0"/>
  </r>
  <r>
    <n v="212"/>
    <x v="8"/>
    <d v="1970-06-06T00:00:00"/>
    <x v="0"/>
    <x v="20"/>
    <n v="4"/>
    <n v="1"/>
    <x v="1"/>
    <b v="0"/>
    <n v="5"/>
    <x v="0"/>
  </r>
  <r>
    <n v="213"/>
    <x v="8"/>
    <d v="1970-06-07T00:00:00"/>
    <x v="0"/>
    <x v="12"/>
    <n v="1"/>
    <n v="1"/>
    <x v="38"/>
    <b v="0"/>
    <n v="2"/>
    <x v="1"/>
  </r>
  <r>
    <n v="214"/>
    <x v="8"/>
    <d v="1970-06-07T00:00:00"/>
    <x v="0"/>
    <x v="13"/>
    <n v="5"/>
    <n v="2"/>
    <x v="35"/>
    <b v="0"/>
    <n v="7"/>
    <x v="0"/>
  </r>
  <r>
    <n v="215"/>
    <x v="8"/>
    <d v="1970-06-07T00:00:00"/>
    <x v="0"/>
    <x v="7"/>
    <n v="1"/>
    <n v="0"/>
    <x v="26"/>
    <b v="0"/>
    <n v="1"/>
    <x v="0"/>
  </r>
  <r>
    <n v="216"/>
    <x v="8"/>
    <d v="1970-06-07T00:00:00"/>
    <x v="0"/>
    <x v="22"/>
    <n v="4"/>
    <n v="0"/>
    <x v="40"/>
    <b v="1"/>
    <n v="4"/>
    <x v="0"/>
  </r>
  <r>
    <n v="217"/>
    <x v="8"/>
    <d v="1970-06-10T00:00:00"/>
    <x v="0"/>
    <x v="12"/>
    <n v="1"/>
    <n v="0"/>
    <x v="30"/>
    <b v="0"/>
    <n v="1"/>
    <x v="0"/>
  </r>
  <r>
    <n v="218"/>
    <x v="8"/>
    <d v="1970-06-10T00:00:00"/>
    <x v="0"/>
    <x v="13"/>
    <n v="3"/>
    <n v="1"/>
    <x v="3"/>
    <b v="0"/>
    <n v="4"/>
    <x v="0"/>
  </r>
  <r>
    <n v="219"/>
    <x v="8"/>
    <d v="1970-06-10T00:00:00"/>
    <x v="0"/>
    <x v="7"/>
    <n v="3"/>
    <n v="2"/>
    <x v="7"/>
    <b v="0"/>
    <n v="5"/>
    <x v="0"/>
  </r>
  <r>
    <n v="220"/>
    <x v="8"/>
    <d v="1970-06-10T00:00:00"/>
    <x v="0"/>
    <x v="20"/>
    <n v="2"/>
    <n v="0"/>
    <x v="40"/>
    <b v="0"/>
    <n v="2"/>
    <x v="0"/>
  </r>
  <r>
    <n v="221"/>
    <x v="8"/>
    <d v="1970-06-11T00:00:00"/>
    <x v="0"/>
    <x v="15"/>
    <n v="0"/>
    <n v="0"/>
    <x v="38"/>
    <b v="0"/>
    <n v="0"/>
    <x v="1"/>
  </r>
  <r>
    <n v="222"/>
    <x v="8"/>
    <d v="1970-06-11T00:00:00"/>
    <x v="0"/>
    <x v="28"/>
    <n v="1"/>
    <n v="1"/>
    <x v="39"/>
    <b v="0"/>
    <n v="2"/>
    <x v="1"/>
  </r>
  <r>
    <n v="223"/>
    <x v="8"/>
    <d v="1970-06-11T00:00:00"/>
    <x v="0"/>
    <x v="18"/>
    <n v="1"/>
    <n v="0"/>
    <x v="20"/>
    <b v="0"/>
    <n v="1"/>
    <x v="0"/>
  </r>
  <r>
    <n v="224"/>
    <x v="8"/>
    <d v="1970-06-11T00:00:00"/>
    <x v="0"/>
    <x v="22"/>
    <n v="1"/>
    <n v="0"/>
    <x v="1"/>
    <b v="1"/>
    <n v="1"/>
    <x v="0"/>
  </r>
  <r>
    <n v="225"/>
    <x v="8"/>
    <d v="1970-06-14T00:00:00"/>
    <x v="4"/>
    <x v="22"/>
    <n v="1"/>
    <n v="4"/>
    <x v="25"/>
    <b v="1"/>
    <n v="5"/>
    <x v="2"/>
  </r>
  <r>
    <n v="226"/>
    <x v="8"/>
    <d v="1970-06-14T00:00:00"/>
    <x v="4"/>
    <x v="13"/>
    <n v="3"/>
    <n v="2"/>
    <x v="26"/>
    <b v="0"/>
    <n v="5"/>
    <x v="0"/>
  </r>
  <r>
    <n v="227"/>
    <x v="8"/>
    <d v="1970-06-14T00:00:00"/>
    <x v="4"/>
    <x v="7"/>
    <n v="4"/>
    <n v="2"/>
    <x v="3"/>
    <b v="0"/>
    <n v="6"/>
    <x v="0"/>
  </r>
  <r>
    <n v="228"/>
    <x v="8"/>
    <d v="1970-06-14T00:00:00"/>
    <x v="4"/>
    <x v="6"/>
    <n v="1"/>
    <n v="0"/>
    <x v="33"/>
    <b v="0"/>
    <n v="1"/>
    <x v="0"/>
  </r>
  <r>
    <n v="229"/>
    <x v="8"/>
    <d v="1970-06-17T00:00:00"/>
    <x v="1"/>
    <x v="7"/>
    <n v="3"/>
    <n v="1"/>
    <x v="30"/>
    <b v="0"/>
    <n v="4"/>
    <x v="0"/>
  </r>
  <r>
    <n v="230"/>
    <x v="8"/>
    <d v="1970-06-17T00:00:00"/>
    <x v="1"/>
    <x v="15"/>
    <n v="4"/>
    <n v="3"/>
    <x v="19"/>
    <b v="0"/>
    <n v="7"/>
    <x v="0"/>
  </r>
  <r>
    <n v="231"/>
    <x v="8"/>
    <d v="1970-06-20T00:00:00"/>
    <x v="5"/>
    <x v="13"/>
    <n v="1"/>
    <n v="0"/>
    <x v="30"/>
    <b v="0"/>
    <n v="1"/>
    <x v="0"/>
  </r>
  <r>
    <n v="232"/>
    <x v="8"/>
    <d v="1970-06-21T00:00:00"/>
    <x v="2"/>
    <x v="7"/>
    <n v="4"/>
    <n v="1"/>
    <x v="25"/>
    <b v="0"/>
    <n v="5"/>
    <x v="0"/>
  </r>
  <r>
    <n v="233"/>
    <x v="9"/>
    <d v="1974-06-13T00:00:00"/>
    <x v="8"/>
    <x v="7"/>
    <n v="0"/>
    <n v="0"/>
    <x v="10"/>
    <b v="0"/>
    <n v="0"/>
    <x v="1"/>
  </r>
  <r>
    <n v="234"/>
    <x v="9"/>
    <d v="1974-06-14T00:00:00"/>
    <x v="8"/>
    <x v="13"/>
    <n v="1"/>
    <n v="0"/>
    <x v="8"/>
    <b v="1"/>
    <n v="1"/>
    <x v="0"/>
  </r>
  <r>
    <n v="235"/>
    <x v="9"/>
    <d v="1974-06-14T00:00:00"/>
    <x v="8"/>
    <x v="29"/>
    <n v="2"/>
    <n v="0"/>
    <x v="41"/>
    <b v="0"/>
    <n v="2"/>
    <x v="0"/>
  </r>
  <r>
    <n v="236"/>
    <x v="9"/>
    <d v="1974-06-14T00:00:00"/>
    <x v="8"/>
    <x v="30"/>
    <n v="0"/>
    <n v="2"/>
    <x v="27"/>
    <b v="0"/>
    <n v="2"/>
    <x v="2"/>
  </r>
  <r>
    <n v="237"/>
    <x v="9"/>
    <d v="1974-06-15T00:00:00"/>
    <x v="8"/>
    <x v="6"/>
    <n v="0"/>
    <n v="2"/>
    <x v="13"/>
    <b v="0"/>
    <n v="2"/>
    <x v="2"/>
  </r>
  <r>
    <n v="238"/>
    <x v="9"/>
    <d v="1974-06-15T00:00:00"/>
    <x v="8"/>
    <x v="12"/>
    <n v="0"/>
    <n v="0"/>
    <x v="35"/>
    <b v="0"/>
    <n v="0"/>
    <x v="1"/>
  </r>
  <r>
    <n v="239"/>
    <x v="9"/>
    <d v="1974-06-15T00:00:00"/>
    <x v="8"/>
    <x v="15"/>
    <n v="3"/>
    <n v="1"/>
    <x v="42"/>
    <b v="0"/>
    <n v="4"/>
    <x v="0"/>
  </r>
  <r>
    <n v="240"/>
    <x v="9"/>
    <d v="1974-06-15T00:00:00"/>
    <x v="8"/>
    <x v="31"/>
    <n v="3"/>
    <n v="2"/>
    <x v="11"/>
    <b v="0"/>
    <n v="5"/>
    <x v="0"/>
  </r>
  <r>
    <n v="241"/>
    <x v="9"/>
    <d v="1974-06-18T00:00:00"/>
    <x v="8"/>
    <x v="13"/>
    <n v="3"/>
    <n v="0"/>
    <x v="41"/>
    <b v="1"/>
    <n v="3"/>
    <x v="0"/>
  </r>
  <r>
    <n v="242"/>
    <x v="9"/>
    <d v="1974-06-18T00:00:00"/>
    <x v="8"/>
    <x v="32"/>
    <n v="0"/>
    <n v="0"/>
    <x v="2"/>
    <b v="0"/>
    <n v="0"/>
    <x v="1"/>
  </r>
  <r>
    <n v="243"/>
    <x v="9"/>
    <d v="1974-06-18T00:00:00"/>
    <x v="8"/>
    <x v="5"/>
    <n v="1"/>
    <n v="1"/>
    <x v="43"/>
    <b v="0"/>
    <n v="2"/>
    <x v="1"/>
  </r>
  <r>
    <n v="244"/>
    <x v="9"/>
    <d v="1974-06-18T00:00:00"/>
    <x v="8"/>
    <x v="2"/>
    <n v="9"/>
    <n v="0"/>
    <x v="44"/>
    <b v="0"/>
    <n v="9"/>
    <x v="0"/>
  </r>
  <r>
    <n v="245"/>
    <x v="9"/>
    <d v="1974-06-19T00:00:00"/>
    <x v="8"/>
    <x v="33"/>
    <n v="0"/>
    <n v="0"/>
    <x v="15"/>
    <b v="0"/>
    <n v="0"/>
    <x v="1"/>
  </r>
  <r>
    <n v="246"/>
    <x v="9"/>
    <d v="1974-06-19T00:00:00"/>
    <x v="8"/>
    <x v="28"/>
    <n v="1"/>
    <n v="1"/>
    <x v="30"/>
    <b v="0"/>
    <n v="2"/>
    <x v="1"/>
  </r>
  <r>
    <n v="247"/>
    <x v="9"/>
    <d v="1974-06-19T00:00:00"/>
    <x v="8"/>
    <x v="34"/>
    <n v="0"/>
    <n v="7"/>
    <x v="23"/>
    <b v="0"/>
    <n v="7"/>
    <x v="2"/>
  </r>
  <r>
    <n v="248"/>
    <x v="9"/>
    <d v="1974-06-19T00:00:00"/>
    <x v="8"/>
    <x v="4"/>
    <n v="1"/>
    <n v="1"/>
    <x v="25"/>
    <b v="0"/>
    <n v="2"/>
    <x v="1"/>
  </r>
  <r>
    <n v="249"/>
    <x v="9"/>
    <d v="1974-06-22T00:00:00"/>
    <x v="8"/>
    <x v="32"/>
    <n v="1"/>
    <n v="1"/>
    <x v="10"/>
    <b v="0"/>
    <n v="2"/>
    <x v="1"/>
  </r>
  <r>
    <n v="250"/>
    <x v="9"/>
    <d v="1974-06-22T00:00:00"/>
    <x v="8"/>
    <x v="35"/>
    <n v="0"/>
    <n v="0"/>
    <x v="8"/>
    <b v="0"/>
    <n v="0"/>
    <x v="1"/>
  </r>
  <r>
    <n v="251"/>
    <x v="9"/>
    <d v="1974-06-22T00:00:00"/>
    <x v="8"/>
    <x v="30"/>
    <n v="0"/>
    <n v="3"/>
    <x v="2"/>
    <b v="0"/>
    <n v="3"/>
    <x v="2"/>
  </r>
  <r>
    <n v="252"/>
    <x v="9"/>
    <d v="1974-06-22T00:00:00"/>
    <x v="8"/>
    <x v="13"/>
    <n v="0"/>
    <n v="1"/>
    <x v="43"/>
    <b v="1"/>
    <n v="1"/>
    <x v="2"/>
  </r>
  <r>
    <n v="253"/>
    <x v="9"/>
    <d v="1974-06-23T00:00:00"/>
    <x v="8"/>
    <x v="28"/>
    <n v="1"/>
    <n v="4"/>
    <x v="13"/>
    <b v="0"/>
    <n v="5"/>
    <x v="2"/>
  </r>
  <r>
    <n v="254"/>
    <x v="9"/>
    <d v="1974-06-23T00:00:00"/>
    <x v="8"/>
    <x v="4"/>
    <n v="4"/>
    <n v="1"/>
    <x v="42"/>
    <b v="0"/>
    <n v="5"/>
    <x v="0"/>
  </r>
  <r>
    <n v="255"/>
    <x v="9"/>
    <d v="1974-06-23T00:00:00"/>
    <x v="8"/>
    <x v="12"/>
    <n v="3"/>
    <n v="0"/>
    <x v="30"/>
    <b v="0"/>
    <n v="3"/>
    <x v="0"/>
  </r>
  <r>
    <n v="256"/>
    <x v="9"/>
    <d v="1974-06-23T00:00:00"/>
    <x v="8"/>
    <x v="31"/>
    <n v="2"/>
    <n v="1"/>
    <x v="25"/>
    <b v="0"/>
    <n v="3"/>
    <x v="0"/>
  </r>
  <r>
    <n v="257"/>
    <x v="9"/>
    <d v="1974-06-26T00:00:00"/>
    <x v="9"/>
    <x v="13"/>
    <n v="2"/>
    <n v="0"/>
    <x v="10"/>
    <b v="1"/>
    <n v="2"/>
    <x v="0"/>
  </r>
  <r>
    <n v="258"/>
    <x v="9"/>
    <d v="1974-06-26T00:00:00"/>
    <x v="9"/>
    <x v="7"/>
    <n v="1"/>
    <n v="0"/>
    <x v="43"/>
    <b v="0"/>
    <n v="1"/>
    <x v="0"/>
  </r>
  <r>
    <n v="259"/>
    <x v="9"/>
    <d v="1974-06-26T00:00:00"/>
    <x v="9"/>
    <x v="33"/>
    <n v="4"/>
    <n v="0"/>
    <x v="11"/>
    <b v="0"/>
    <n v="4"/>
    <x v="0"/>
  </r>
  <r>
    <n v="260"/>
    <x v="9"/>
    <d v="1974-06-26T00:00:00"/>
    <x v="9"/>
    <x v="12"/>
    <n v="0"/>
    <n v="1"/>
    <x v="23"/>
    <b v="0"/>
    <n v="1"/>
    <x v="2"/>
  </r>
  <r>
    <n v="261"/>
    <x v="9"/>
    <d v="1974-06-30T00:00:00"/>
    <x v="9"/>
    <x v="4"/>
    <n v="1"/>
    <n v="2"/>
    <x v="2"/>
    <b v="0"/>
    <n v="3"/>
    <x v="2"/>
  </r>
  <r>
    <n v="262"/>
    <x v="9"/>
    <d v="1974-06-30T00:00:00"/>
    <x v="9"/>
    <x v="31"/>
    <n v="2"/>
    <n v="1"/>
    <x v="10"/>
    <b v="0"/>
    <n v="3"/>
    <x v="0"/>
  </r>
  <r>
    <n v="263"/>
    <x v="9"/>
    <d v="1974-06-30T00:00:00"/>
    <x v="9"/>
    <x v="29"/>
    <n v="0"/>
    <n v="2"/>
    <x v="13"/>
    <b v="0"/>
    <n v="2"/>
    <x v="2"/>
  </r>
  <r>
    <n v="264"/>
    <x v="9"/>
    <d v="1974-06-30T00:00:00"/>
    <x v="9"/>
    <x v="13"/>
    <n v="4"/>
    <n v="2"/>
    <x v="15"/>
    <b v="1"/>
    <n v="6"/>
    <x v="0"/>
  </r>
  <r>
    <n v="265"/>
    <x v="9"/>
    <d v="1974-07-03T00:00:00"/>
    <x v="9"/>
    <x v="13"/>
    <n v="1"/>
    <n v="0"/>
    <x v="23"/>
    <b v="1"/>
    <n v="1"/>
    <x v="0"/>
  </r>
  <r>
    <n v="266"/>
    <x v="9"/>
    <d v="1974-07-03T00:00:00"/>
    <x v="9"/>
    <x v="33"/>
    <n v="2"/>
    <n v="0"/>
    <x v="2"/>
    <b v="0"/>
    <n v="2"/>
    <x v="0"/>
  </r>
  <r>
    <n v="267"/>
    <x v="9"/>
    <d v="1974-07-03T00:00:00"/>
    <x v="9"/>
    <x v="4"/>
    <n v="1"/>
    <n v="1"/>
    <x v="43"/>
    <b v="0"/>
    <n v="2"/>
    <x v="1"/>
  </r>
  <r>
    <n v="268"/>
    <x v="9"/>
    <d v="1974-07-03T00:00:00"/>
    <x v="9"/>
    <x v="12"/>
    <n v="2"/>
    <n v="1"/>
    <x v="10"/>
    <b v="0"/>
    <n v="3"/>
    <x v="0"/>
  </r>
  <r>
    <n v="269"/>
    <x v="9"/>
    <d v="1974-07-06T00:00:00"/>
    <x v="5"/>
    <x v="7"/>
    <n v="0"/>
    <n v="1"/>
    <x v="23"/>
    <b v="0"/>
    <n v="1"/>
    <x v="2"/>
  </r>
  <r>
    <n v="270"/>
    <x v="9"/>
    <d v="1974-07-07T00:00:00"/>
    <x v="2"/>
    <x v="13"/>
    <n v="2"/>
    <n v="1"/>
    <x v="13"/>
    <b v="1"/>
    <n v="3"/>
    <x v="0"/>
  </r>
  <r>
    <n v="271"/>
    <x v="10"/>
    <d v="1978-06-01T00:00:00"/>
    <x v="8"/>
    <x v="13"/>
    <n v="0"/>
    <n v="0"/>
    <x v="23"/>
    <b v="0"/>
    <n v="0"/>
    <x v="1"/>
  </r>
  <r>
    <n v="272"/>
    <x v="10"/>
    <d v="1978-06-02T00:00:00"/>
    <x v="8"/>
    <x v="15"/>
    <n v="2"/>
    <n v="1"/>
    <x v="4"/>
    <b v="0"/>
    <n v="3"/>
    <x v="0"/>
  </r>
  <r>
    <n v="273"/>
    <x v="10"/>
    <d v="1978-06-02T00:00:00"/>
    <x v="8"/>
    <x v="36"/>
    <n v="3"/>
    <n v="1"/>
    <x v="0"/>
    <b v="0"/>
    <n v="4"/>
    <x v="0"/>
  </r>
  <r>
    <n v="274"/>
    <x v="10"/>
    <d v="1978-06-02T00:00:00"/>
    <x v="8"/>
    <x v="4"/>
    <n v="2"/>
    <n v="1"/>
    <x v="17"/>
    <b v="1"/>
    <n v="3"/>
    <x v="0"/>
  </r>
  <r>
    <n v="275"/>
    <x v="10"/>
    <d v="1978-06-03T00:00:00"/>
    <x v="8"/>
    <x v="12"/>
    <n v="1"/>
    <n v="1"/>
    <x v="2"/>
    <b v="0"/>
    <n v="2"/>
    <x v="1"/>
  </r>
  <r>
    <n v="276"/>
    <x v="10"/>
    <d v="1978-06-03T00:00:00"/>
    <x v="8"/>
    <x v="9"/>
    <n v="2"/>
    <n v="1"/>
    <x v="16"/>
    <b v="0"/>
    <n v="3"/>
    <x v="0"/>
  </r>
  <r>
    <n v="277"/>
    <x v="10"/>
    <d v="1978-06-03T00:00:00"/>
    <x v="8"/>
    <x v="26"/>
    <n v="3"/>
    <n v="1"/>
    <x v="27"/>
    <b v="0"/>
    <n v="4"/>
    <x v="0"/>
  </r>
  <r>
    <n v="278"/>
    <x v="10"/>
    <d v="1978-06-03T00:00:00"/>
    <x v="8"/>
    <x v="33"/>
    <n v="3"/>
    <n v="0"/>
    <x v="45"/>
    <b v="0"/>
    <n v="3"/>
    <x v="0"/>
  </r>
  <r>
    <n v="279"/>
    <x v="10"/>
    <d v="1978-06-06T00:00:00"/>
    <x v="8"/>
    <x v="15"/>
    <n v="3"/>
    <n v="1"/>
    <x v="17"/>
    <b v="0"/>
    <n v="4"/>
    <x v="0"/>
  </r>
  <r>
    <n v="280"/>
    <x v="10"/>
    <d v="1978-06-06T00:00:00"/>
    <x v="8"/>
    <x v="31"/>
    <n v="1"/>
    <n v="0"/>
    <x v="46"/>
    <b v="0"/>
    <n v="1"/>
    <x v="0"/>
  </r>
  <r>
    <n v="281"/>
    <x v="10"/>
    <d v="1978-06-06T00:00:00"/>
    <x v="8"/>
    <x v="13"/>
    <n v="6"/>
    <n v="0"/>
    <x v="0"/>
    <b v="0"/>
    <n v="6"/>
    <x v="0"/>
  </r>
  <r>
    <n v="282"/>
    <x v="10"/>
    <d v="1978-06-06T00:00:00"/>
    <x v="8"/>
    <x v="4"/>
    <n v="2"/>
    <n v="1"/>
    <x v="4"/>
    <b v="1"/>
    <n v="3"/>
    <x v="0"/>
  </r>
  <r>
    <n v="283"/>
    <x v="10"/>
    <d v="1978-06-07T00:00:00"/>
    <x v="8"/>
    <x v="7"/>
    <n v="0"/>
    <n v="0"/>
    <x v="16"/>
    <b v="0"/>
    <n v="0"/>
    <x v="1"/>
  </r>
  <r>
    <n v="284"/>
    <x v="10"/>
    <d v="1978-06-07T00:00:00"/>
    <x v="8"/>
    <x v="9"/>
    <n v="1"/>
    <n v="0"/>
    <x v="15"/>
    <b v="0"/>
    <n v="1"/>
    <x v="0"/>
  </r>
  <r>
    <n v="285"/>
    <x v="10"/>
    <d v="1978-06-07T00:00:00"/>
    <x v="8"/>
    <x v="32"/>
    <n v="1"/>
    <n v="1"/>
    <x v="45"/>
    <b v="0"/>
    <n v="2"/>
    <x v="1"/>
  </r>
  <r>
    <n v="286"/>
    <x v="10"/>
    <d v="1978-06-07T00:00:00"/>
    <x v="8"/>
    <x v="33"/>
    <n v="0"/>
    <n v="0"/>
    <x v="3"/>
    <b v="0"/>
    <n v="0"/>
    <x v="1"/>
  </r>
  <r>
    <n v="287"/>
    <x v="10"/>
    <d v="1978-06-10T00:00:00"/>
    <x v="8"/>
    <x v="0"/>
    <n v="3"/>
    <n v="1"/>
    <x v="17"/>
    <b v="0"/>
    <n v="4"/>
    <x v="0"/>
  </r>
  <r>
    <n v="288"/>
    <x v="10"/>
    <d v="1978-06-10T00:00:00"/>
    <x v="8"/>
    <x v="31"/>
    <n v="3"/>
    <n v="1"/>
    <x v="0"/>
    <b v="0"/>
    <n v="4"/>
    <x v="0"/>
  </r>
  <r>
    <n v="289"/>
    <x v="10"/>
    <d v="1978-06-10T00:00:00"/>
    <x v="8"/>
    <x v="13"/>
    <n v="0"/>
    <n v="0"/>
    <x v="46"/>
    <b v="0"/>
    <n v="0"/>
    <x v="1"/>
  </r>
  <r>
    <n v="290"/>
    <x v="10"/>
    <d v="1978-06-10T00:00:00"/>
    <x v="8"/>
    <x v="4"/>
    <n v="0"/>
    <n v="1"/>
    <x v="25"/>
    <b v="1"/>
    <n v="1"/>
    <x v="2"/>
  </r>
  <r>
    <n v="291"/>
    <x v="10"/>
    <d v="1978-06-11T00:00:00"/>
    <x v="8"/>
    <x v="7"/>
    <n v="1"/>
    <n v="0"/>
    <x v="18"/>
    <b v="0"/>
    <n v="1"/>
    <x v="0"/>
  </r>
  <r>
    <n v="292"/>
    <x v="10"/>
    <d v="1978-06-11T00:00:00"/>
    <x v="8"/>
    <x v="14"/>
    <n v="1"/>
    <n v="0"/>
    <x v="15"/>
    <b v="0"/>
    <n v="1"/>
    <x v="0"/>
  </r>
  <r>
    <n v="293"/>
    <x v="10"/>
    <d v="1978-06-11T00:00:00"/>
    <x v="8"/>
    <x v="26"/>
    <n v="4"/>
    <n v="1"/>
    <x v="45"/>
    <b v="0"/>
    <n v="5"/>
    <x v="0"/>
  </r>
  <r>
    <n v="294"/>
    <x v="10"/>
    <d v="1978-06-11T00:00:00"/>
    <x v="8"/>
    <x v="32"/>
    <n v="3"/>
    <n v="2"/>
    <x v="13"/>
    <b v="0"/>
    <n v="5"/>
    <x v="0"/>
  </r>
  <r>
    <n v="295"/>
    <x v="10"/>
    <d v="1978-06-14T00:00:00"/>
    <x v="9"/>
    <x v="13"/>
    <n v="0"/>
    <n v="0"/>
    <x v="25"/>
    <b v="0"/>
    <n v="0"/>
    <x v="1"/>
  </r>
  <r>
    <n v="296"/>
    <x v="10"/>
    <d v="1978-06-14T00:00:00"/>
    <x v="9"/>
    <x v="33"/>
    <n v="5"/>
    <n v="1"/>
    <x v="18"/>
    <b v="0"/>
    <n v="6"/>
    <x v="0"/>
  </r>
  <r>
    <n v="297"/>
    <x v="10"/>
    <d v="1978-06-14T00:00:00"/>
    <x v="9"/>
    <x v="7"/>
    <n v="3"/>
    <n v="0"/>
    <x v="3"/>
    <b v="0"/>
    <n v="3"/>
    <x v="0"/>
  </r>
  <r>
    <n v="298"/>
    <x v="10"/>
    <d v="1978-06-14T00:00:00"/>
    <x v="9"/>
    <x v="4"/>
    <n v="2"/>
    <n v="0"/>
    <x v="23"/>
    <b v="1"/>
    <n v="2"/>
    <x v="0"/>
  </r>
  <r>
    <n v="299"/>
    <x v="10"/>
    <d v="1978-06-18T00:00:00"/>
    <x v="9"/>
    <x v="31"/>
    <n v="1"/>
    <n v="0"/>
    <x v="3"/>
    <b v="0"/>
    <n v="1"/>
    <x v="0"/>
  </r>
  <r>
    <n v="300"/>
    <x v="10"/>
    <d v="1978-06-18T00:00:00"/>
    <x v="9"/>
    <x v="15"/>
    <n v="1"/>
    <n v="0"/>
    <x v="18"/>
    <b v="0"/>
    <n v="1"/>
    <x v="0"/>
  </r>
  <r>
    <n v="301"/>
    <x v="10"/>
    <d v="1978-06-18T00:00:00"/>
    <x v="9"/>
    <x v="13"/>
    <n v="2"/>
    <n v="2"/>
    <x v="13"/>
    <b v="0"/>
    <n v="4"/>
    <x v="1"/>
  </r>
  <r>
    <n v="302"/>
    <x v="10"/>
    <d v="1978-06-18T00:00:00"/>
    <x v="9"/>
    <x v="4"/>
    <n v="0"/>
    <n v="0"/>
    <x v="2"/>
    <b v="1"/>
    <n v="0"/>
    <x v="1"/>
  </r>
  <r>
    <n v="303"/>
    <x v="10"/>
    <d v="1978-06-21T00:00:00"/>
    <x v="9"/>
    <x v="33"/>
    <n v="2"/>
    <n v="1"/>
    <x v="25"/>
    <b v="0"/>
    <n v="3"/>
    <x v="0"/>
  </r>
  <r>
    <n v="304"/>
    <x v="10"/>
    <d v="1978-06-21T00:00:00"/>
    <x v="9"/>
    <x v="9"/>
    <n v="3"/>
    <n v="2"/>
    <x v="19"/>
    <b v="0"/>
    <n v="5"/>
    <x v="0"/>
  </r>
  <r>
    <n v="305"/>
    <x v="10"/>
    <d v="1978-06-21T00:00:00"/>
    <x v="9"/>
    <x v="7"/>
    <n v="3"/>
    <n v="1"/>
    <x v="23"/>
    <b v="0"/>
    <n v="4"/>
    <x v="0"/>
  </r>
  <r>
    <n v="306"/>
    <x v="10"/>
    <d v="1978-06-21T00:00:00"/>
    <x v="9"/>
    <x v="4"/>
    <n v="6"/>
    <n v="0"/>
    <x v="3"/>
    <b v="1"/>
    <n v="6"/>
    <x v="0"/>
  </r>
  <r>
    <n v="307"/>
    <x v="10"/>
    <d v="1978-06-24T00:00:00"/>
    <x v="5"/>
    <x v="7"/>
    <n v="2"/>
    <n v="1"/>
    <x v="25"/>
    <b v="0"/>
    <n v="3"/>
    <x v="0"/>
  </r>
  <r>
    <n v="308"/>
    <x v="10"/>
    <d v="1978-06-25T00:00:00"/>
    <x v="2"/>
    <x v="4"/>
    <n v="3"/>
    <n v="1"/>
    <x v="13"/>
    <b v="1"/>
    <n v="4"/>
    <x v="0"/>
  </r>
  <r>
    <n v="309"/>
    <x v="11"/>
    <d v="1982-06-13T00:00:00"/>
    <x v="8"/>
    <x v="4"/>
    <n v="0"/>
    <n v="1"/>
    <x v="1"/>
    <b v="0"/>
    <n v="1"/>
    <x v="2"/>
  </r>
  <r>
    <n v="310"/>
    <x v="11"/>
    <d v="1982-06-14T00:00:00"/>
    <x v="8"/>
    <x v="15"/>
    <n v="0"/>
    <n v="0"/>
    <x v="23"/>
    <b v="0"/>
    <n v="0"/>
    <x v="1"/>
  </r>
  <r>
    <n v="311"/>
    <x v="11"/>
    <d v="1982-06-14T00:00:00"/>
    <x v="8"/>
    <x v="7"/>
    <n v="2"/>
    <n v="1"/>
    <x v="33"/>
    <b v="0"/>
    <n v="3"/>
    <x v="0"/>
  </r>
  <r>
    <n v="312"/>
    <x v="11"/>
    <d v="1982-06-15T00:00:00"/>
    <x v="8"/>
    <x v="26"/>
    <n v="0"/>
    <n v="0"/>
    <x v="47"/>
    <b v="0"/>
    <n v="0"/>
    <x v="1"/>
  </r>
  <r>
    <n v="313"/>
    <x v="11"/>
    <d v="1982-06-15T00:00:00"/>
    <x v="8"/>
    <x v="10"/>
    <n v="10"/>
    <n v="1"/>
    <x v="40"/>
    <b v="0"/>
    <n v="11"/>
    <x v="0"/>
  </r>
  <r>
    <n v="314"/>
    <x v="11"/>
    <d v="1982-06-15T00:00:00"/>
    <x v="8"/>
    <x v="32"/>
    <n v="5"/>
    <n v="2"/>
    <x v="48"/>
    <b v="0"/>
    <n v="7"/>
    <x v="0"/>
  </r>
  <r>
    <n v="315"/>
    <x v="11"/>
    <d v="1982-06-16T00:00:00"/>
    <x v="8"/>
    <x v="13"/>
    <n v="1"/>
    <n v="2"/>
    <x v="49"/>
    <b v="0"/>
    <n v="3"/>
    <x v="2"/>
  </r>
  <r>
    <n v="316"/>
    <x v="11"/>
    <d v="1982-06-16T00:00:00"/>
    <x v="8"/>
    <x v="18"/>
    <n v="3"/>
    <n v="1"/>
    <x v="4"/>
    <b v="0"/>
    <n v="4"/>
    <x v="0"/>
  </r>
  <r>
    <n v="317"/>
    <x v="11"/>
    <d v="1982-06-16T00:00:00"/>
    <x v="8"/>
    <x v="14"/>
    <n v="1"/>
    <n v="1"/>
    <x v="50"/>
    <b v="1"/>
    <n v="2"/>
    <x v="1"/>
  </r>
  <r>
    <n v="318"/>
    <x v="11"/>
    <d v="1982-06-17T00:00:00"/>
    <x v="8"/>
    <x v="5"/>
    <n v="0"/>
    <n v="1"/>
    <x v="18"/>
    <b v="0"/>
    <n v="1"/>
    <x v="2"/>
  </r>
  <r>
    <n v="319"/>
    <x v="11"/>
    <d v="1982-06-17T00:00:00"/>
    <x v="8"/>
    <x v="16"/>
    <n v="1"/>
    <n v="1"/>
    <x v="51"/>
    <b v="0"/>
    <n v="2"/>
    <x v="1"/>
  </r>
  <r>
    <n v="320"/>
    <x v="11"/>
    <d v="1982-06-17T00:00:00"/>
    <x v="8"/>
    <x v="2"/>
    <n v="0"/>
    <n v="0"/>
    <x v="32"/>
    <b v="0"/>
    <n v="0"/>
    <x v="1"/>
  </r>
  <r>
    <n v="321"/>
    <x v="11"/>
    <d v="1982-06-18T00:00:00"/>
    <x v="8"/>
    <x v="15"/>
    <n v="1"/>
    <n v="1"/>
    <x v="3"/>
    <b v="0"/>
    <n v="2"/>
    <x v="1"/>
  </r>
  <r>
    <n v="322"/>
    <x v="11"/>
    <d v="1982-06-18T00:00:00"/>
    <x v="8"/>
    <x v="4"/>
    <n v="4"/>
    <n v="1"/>
    <x v="17"/>
    <b v="0"/>
    <n v="5"/>
    <x v="0"/>
  </r>
  <r>
    <n v="323"/>
    <x v="11"/>
    <d v="1982-06-18T00:00:00"/>
    <x v="8"/>
    <x v="7"/>
    <n v="4"/>
    <n v="1"/>
    <x v="27"/>
    <b v="0"/>
    <n v="5"/>
    <x v="0"/>
  </r>
  <r>
    <n v="324"/>
    <x v="11"/>
    <d v="1982-06-19T00:00:00"/>
    <x v="8"/>
    <x v="31"/>
    <n v="0"/>
    <n v="0"/>
    <x v="47"/>
    <b v="0"/>
    <n v="0"/>
    <x v="1"/>
  </r>
  <r>
    <n v="325"/>
    <x v="11"/>
    <d v="1982-06-19T00:00:00"/>
    <x v="8"/>
    <x v="27"/>
    <n v="1"/>
    <n v="0"/>
    <x v="40"/>
    <b v="0"/>
    <n v="1"/>
    <x v="0"/>
  </r>
  <r>
    <n v="326"/>
    <x v="11"/>
    <d v="1982-06-19T00:00:00"/>
    <x v="8"/>
    <x v="20"/>
    <n v="3"/>
    <n v="0"/>
    <x v="48"/>
    <b v="0"/>
    <n v="3"/>
    <x v="0"/>
  </r>
  <r>
    <n v="327"/>
    <x v="11"/>
    <d v="1982-06-20T00:00:00"/>
    <x v="8"/>
    <x v="13"/>
    <n v="4"/>
    <n v="1"/>
    <x v="8"/>
    <b v="0"/>
    <n v="5"/>
    <x v="0"/>
  </r>
  <r>
    <n v="328"/>
    <x v="11"/>
    <d v="1982-06-20T00:00:00"/>
    <x v="8"/>
    <x v="18"/>
    <n v="2"/>
    <n v="0"/>
    <x v="20"/>
    <b v="0"/>
    <n v="2"/>
    <x v="0"/>
  </r>
  <r>
    <n v="329"/>
    <x v="11"/>
    <d v="1982-06-20T00:00:00"/>
    <x v="8"/>
    <x v="14"/>
    <n v="2"/>
    <n v="1"/>
    <x v="10"/>
    <b v="1"/>
    <n v="3"/>
    <x v="0"/>
  </r>
  <r>
    <n v="330"/>
    <x v="11"/>
    <d v="1982-06-21T00:00:00"/>
    <x v="8"/>
    <x v="37"/>
    <n v="0"/>
    <n v="2"/>
    <x v="18"/>
    <b v="0"/>
    <n v="2"/>
    <x v="2"/>
  </r>
  <r>
    <n v="331"/>
    <x v="11"/>
    <d v="1982-06-21T00:00:00"/>
    <x v="8"/>
    <x v="0"/>
    <n v="4"/>
    <n v="1"/>
    <x v="51"/>
    <b v="0"/>
    <n v="5"/>
    <x v="0"/>
  </r>
  <r>
    <n v="332"/>
    <x v="11"/>
    <d v="1982-06-21T00:00:00"/>
    <x v="8"/>
    <x v="38"/>
    <n v="1"/>
    <n v="1"/>
    <x v="32"/>
    <b v="0"/>
    <n v="2"/>
    <x v="1"/>
  </r>
  <r>
    <n v="333"/>
    <x v="11"/>
    <d v="1982-06-22T00:00:00"/>
    <x v="8"/>
    <x v="31"/>
    <n v="5"/>
    <n v="1"/>
    <x v="3"/>
    <b v="0"/>
    <n v="6"/>
    <x v="0"/>
  </r>
  <r>
    <n v="334"/>
    <x v="11"/>
    <d v="1982-06-22T00:00:00"/>
    <x v="8"/>
    <x v="27"/>
    <n v="1"/>
    <n v="1"/>
    <x v="17"/>
    <b v="0"/>
    <n v="2"/>
    <x v="1"/>
  </r>
  <r>
    <n v="335"/>
    <x v="11"/>
    <d v="1982-06-22T00:00:00"/>
    <x v="8"/>
    <x v="20"/>
    <n v="2"/>
    <n v="2"/>
    <x v="27"/>
    <b v="0"/>
    <n v="4"/>
    <x v="1"/>
  </r>
  <r>
    <n v="336"/>
    <x v="11"/>
    <d v="1982-06-23T00:00:00"/>
    <x v="8"/>
    <x v="15"/>
    <n v="1"/>
    <n v="1"/>
    <x v="47"/>
    <b v="0"/>
    <n v="2"/>
    <x v="1"/>
  </r>
  <r>
    <n v="337"/>
    <x v="11"/>
    <d v="1982-06-23T00:00:00"/>
    <x v="8"/>
    <x v="4"/>
    <n v="2"/>
    <n v="0"/>
    <x v="40"/>
    <b v="0"/>
    <n v="2"/>
    <x v="0"/>
  </r>
  <r>
    <n v="338"/>
    <x v="11"/>
    <d v="1982-06-23T00:00:00"/>
    <x v="8"/>
    <x v="7"/>
    <n v="4"/>
    <n v="0"/>
    <x v="48"/>
    <b v="0"/>
    <n v="4"/>
    <x v="0"/>
  </r>
  <r>
    <n v="339"/>
    <x v="11"/>
    <d v="1982-06-24T00:00:00"/>
    <x v="8"/>
    <x v="37"/>
    <n v="3"/>
    <n v="2"/>
    <x v="8"/>
    <b v="0"/>
    <n v="5"/>
    <x v="0"/>
  </r>
  <r>
    <n v="340"/>
    <x v="11"/>
    <d v="1982-06-24T00:00:00"/>
    <x v="8"/>
    <x v="0"/>
    <n v="1"/>
    <n v="1"/>
    <x v="20"/>
    <b v="0"/>
    <n v="2"/>
    <x v="1"/>
  </r>
  <r>
    <n v="341"/>
    <x v="11"/>
    <d v="1982-06-24T00:00:00"/>
    <x v="8"/>
    <x v="38"/>
    <n v="0"/>
    <n v="1"/>
    <x v="10"/>
    <b v="0"/>
    <n v="1"/>
    <x v="2"/>
  </r>
  <r>
    <n v="342"/>
    <x v="11"/>
    <d v="1982-06-25T00:00:00"/>
    <x v="8"/>
    <x v="13"/>
    <n v="1"/>
    <n v="0"/>
    <x v="18"/>
    <b v="0"/>
    <n v="1"/>
    <x v="0"/>
  </r>
  <r>
    <n v="343"/>
    <x v="11"/>
    <d v="1982-06-25T00:00:00"/>
    <x v="8"/>
    <x v="18"/>
    <n v="1"/>
    <n v="0"/>
    <x v="51"/>
    <b v="0"/>
    <n v="1"/>
    <x v="0"/>
  </r>
  <r>
    <n v="344"/>
    <x v="11"/>
    <d v="1982-06-25T00:00:00"/>
    <x v="8"/>
    <x v="14"/>
    <n v="0"/>
    <n v="1"/>
    <x v="32"/>
    <b v="1"/>
    <n v="1"/>
    <x v="2"/>
  </r>
  <r>
    <n v="345"/>
    <x v="11"/>
    <d v="1982-06-28T00:00:00"/>
    <x v="9"/>
    <x v="9"/>
    <n v="0"/>
    <n v="1"/>
    <x v="4"/>
    <b v="0"/>
    <n v="1"/>
    <x v="2"/>
  </r>
  <r>
    <n v="346"/>
    <x v="11"/>
    <d v="1982-06-28T00:00:00"/>
    <x v="9"/>
    <x v="31"/>
    <n v="3"/>
    <n v="0"/>
    <x v="1"/>
    <b v="0"/>
    <n v="3"/>
    <x v="0"/>
  </r>
  <r>
    <n v="347"/>
    <x v="11"/>
    <d v="1982-06-29T00:00:00"/>
    <x v="9"/>
    <x v="15"/>
    <n v="2"/>
    <n v="1"/>
    <x v="11"/>
    <b v="0"/>
    <n v="3"/>
    <x v="0"/>
  </r>
  <r>
    <n v="348"/>
    <x v="11"/>
    <d v="1982-06-29T00:00:00"/>
    <x v="9"/>
    <x v="13"/>
    <n v="0"/>
    <n v="0"/>
    <x v="26"/>
    <b v="0"/>
    <n v="0"/>
    <x v="1"/>
  </r>
  <r>
    <n v="349"/>
    <x v="11"/>
    <d v="1982-07-01T00:00:00"/>
    <x v="9"/>
    <x v="9"/>
    <n v="2"/>
    <n v="2"/>
    <x v="32"/>
    <b v="0"/>
    <n v="4"/>
    <x v="1"/>
  </r>
  <r>
    <n v="350"/>
    <x v="11"/>
    <d v="1982-07-01T00:00:00"/>
    <x v="9"/>
    <x v="27"/>
    <n v="0"/>
    <n v="1"/>
    <x v="33"/>
    <b v="0"/>
    <n v="1"/>
    <x v="2"/>
  </r>
  <r>
    <n v="351"/>
    <x v="11"/>
    <d v="1982-07-02T00:00:00"/>
    <x v="9"/>
    <x v="4"/>
    <n v="1"/>
    <n v="3"/>
    <x v="2"/>
    <b v="0"/>
    <n v="4"/>
    <x v="2"/>
  </r>
  <r>
    <n v="352"/>
    <x v="11"/>
    <d v="1982-07-02T00:00:00"/>
    <x v="9"/>
    <x v="14"/>
    <n v="1"/>
    <n v="2"/>
    <x v="19"/>
    <b v="1"/>
    <n v="3"/>
    <x v="2"/>
  </r>
  <r>
    <n v="353"/>
    <x v="11"/>
    <d v="1982-07-04T00:00:00"/>
    <x v="9"/>
    <x v="0"/>
    <n v="4"/>
    <n v="1"/>
    <x v="32"/>
    <b v="0"/>
    <n v="5"/>
    <x v="0"/>
  </r>
  <r>
    <n v="354"/>
    <x v="11"/>
    <d v="1982-07-04T00:00:00"/>
    <x v="9"/>
    <x v="31"/>
    <n v="0"/>
    <n v="0"/>
    <x v="33"/>
    <b v="0"/>
    <n v="0"/>
    <x v="1"/>
  </r>
  <r>
    <n v="355"/>
    <x v="11"/>
    <d v="1982-07-05T00:00:00"/>
    <x v="9"/>
    <x v="15"/>
    <n v="3"/>
    <n v="2"/>
    <x v="2"/>
    <b v="0"/>
    <n v="5"/>
    <x v="0"/>
  </r>
  <r>
    <n v="356"/>
    <x v="11"/>
    <d v="1982-07-05T00:00:00"/>
    <x v="9"/>
    <x v="14"/>
    <n v="0"/>
    <n v="0"/>
    <x v="26"/>
    <b v="1"/>
    <n v="0"/>
    <x v="1"/>
  </r>
  <r>
    <n v="357"/>
    <x v="11"/>
    <d v="1982-07-08T00:00:00"/>
    <x v="1"/>
    <x v="31"/>
    <n v="0"/>
    <n v="2"/>
    <x v="25"/>
    <b v="0"/>
    <n v="2"/>
    <x v="2"/>
  </r>
  <r>
    <n v="358"/>
    <x v="11"/>
    <d v="1982-07-08T00:00:00"/>
    <x v="1"/>
    <x v="13"/>
    <n v="3"/>
    <n v="3"/>
    <x v="4"/>
    <b v="0"/>
    <n v="6"/>
    <x v="1"/>
  </r>
  <r>
    <n v="359"/>
    <x v="11"/>
    <d v="1982-07-10T00:00:00"/>
    <x v="5"/>
    <x v="31"/>
    <n v="3"/>
    <n v="2"/>
    <x v="4"/>
    <b v="0"/>
    <n v="5"/>
    <x v="0"/>
  </r>
  <r>
    <n v="360"/>
    <x v="11"/>
    <d v="1982-07-11T00:00:00"/>
    <x v="2"/>
    <x v="15"/>
    <n v="3"/>
    <n v="1"/>
    <x v="19"/>
    <b v="0"/>
    <n v="4"/>
    <x v="0"/>
  </r>
  <r>
    <n v="361"/>
    <x v="12"/>
    <d v="1986-05-31T00:00:00"/>
    <x v="0"/>
    <x v="28"/>
    <n v="1"/>
    <n v="1"/>
    <x v="25"/>
    <b v="0"/>
    <n v="2"/>
    <x v="1"/>
  </r>
  <r>
    <n v="362"/>
    <x v="12"/>
    <d v="1986-06-01T00:00:00"/>
    <x v="0"/>
    <x v="14"/>
    <n v="0"/>
    <n v="1"/>
    <x v="2"/>
    <b v="0"/>
    <n v="1"/>
    <x v="2"/>
  </r>
  <r>
    <n v="363"/>
    <x v="12"/>
    <d v="1986-06-01T00:00:00"/>
    <x v="0"/>
    <x v="39"/>
    <n v="0"/>
    <n v="1"/>
    <x v="4"/>
    <b v="0"/>
    <n v="1"/>
    <x v="2"/>
  </r>
  <r>
    <n v="364"/>
    <x v="12"/>
    <d v="1986-06-02T00:00:00"/>
    <x v="0"/>
    <x v="20"/>
    <n v="6"/>
    <n v="0"/>
    <x v="17"/>
    <b v="0"/>
    <n v="6"/>
    <x v="0"/>
  </r>
  <r>
    <n v="365"/>
    <x v="12"/>
    <d v="1986-06-02T00:00:00"/>
    <x v="0"/>
    <x v="4"/>
    <n v="3"/>
    <n v="1"/>
    <x v="29"/>
    <b v="0"/>
    <n v="4"/>
    <x v="0"/>
  </r>
  <r>
    <n v="366"/>
    <x v="12"/>
    <d v="1986-06-02T00:00:00"/>
    <x v="0"/>
    <x v="40"/>
    <n v="0"/>
    <n v="0"/>
    <x v="23"/>
    <b v="0"/>
    <n v="0"/>
    <x v="1"/>
  </r>
  <r>
    <n v="367"/>
    <x v="12"/>
    <d v="1986-06-03T00:00:00"/>
    <x v="0"/>
    <x v="37"/>
    <n v="1"/>
    <n v="1"/>
    <x v="32"/>
    <b v="0"/>
    <n v="2"/>
    <x v="1"/>
  </r>
  <r>
    <n v="368"/>
    <x v="12"/>
    <d v="1986-06-03T00:00:00"/>
    <x v="0"/>
    <x v="22"/>
    <n v="2"/>
    <n v="1"/>
    <x v="1"/>
    <b v="1"/>
    <n v="3"/>
    <x v="0"/>
  </r>
  <r>
    <n v="369"/>
    <x v="12"/>
    <d v="1986-06-03T00:00:00"/>
    <x v="0"/>
    <x v="24"/>
    <n v="1"/>
    <n v="0"/>
    <x v="26"/>
    <b v="0"/>
    <n v="1"/>
    <x v="0"/>
  </r>
  <r>
    <n v="370"/>
    <x v="12"/>
    <d v="1986-06-04T00:00:00"/>
    <x v="0"/>
    <x v="8"/>
    <n v="1"/>
    <n v="0"/>
    <x v="52"/>
    <b v="0"/>
    <n v="1"/>
    <x v="0"/>
  </r>
  <r>
    <n v="371"/>
    <x v="12"/>
    <d v="1986-06-04T00:00:00"/>
    <x v="0"/>
    <x v="6"/>
    <n v="1"/>
    <n v="1"/>
    <x v="19"/>
    <b v="0"/>
    <n v="2"/>
    <x v="1"/>
  </r>
  <r>
    <n v="372"/>
    <x v="12"/>
    <d v="1986-06-04T00:00:00"/>
    <x v="0"/>
    <x v="32"/>
    <n v="0"/>
    <n v="1"/>
    <x v="53"/>
    <b v="0"/>
    <n v="1"/>
    <x v="2"/>
  </r>
  <r>
    <n v="373"/>
    <x v="12"/>
    <d v="1986-06-05T00:00:00"/>
    <x v="0"/>
    <x v="15"/>
    <n v="1"/>
    <n v="1"/>
    <x v="11"/>
    <b v="0"/>
    <n v="2"/>
    <x v="1"/>
  </r>
  <r>
    <n v="374"/>
    <x v="12"/>
    <d v="1986-06-05T00:00:00"/>
    <x v="0"/>
    <x v="0"/>
    <n v="1"/>
    <n v="1"/>
    <x v="33"/>
    <b v="0"/>
    <n v="2"/>
    <x v="1"/>
  </r>
  <r>
    <n v="375"/>
    <x v="12"/>
    <d v="1986-06-05T00:00:00"/>
    <x v="0"/>
    <x v="41"/>
    <n v="1"/>
    <n v="1"/>
    <x v="35"/>
    <b v="0"/>
    <n v="2"/>
    <x v="1"/>
  </r>
  <r>
    <n v="376"/>
    <x v="12"/>
    <d v="1986-06-06T00:00:00"/>
    <x v="0"/>
    <x v="10"/>
    <n v="2"/>
    <n v="0"/>
    <x v="54"/>
    <b v="0"/>
    <n v="2"/>
    <x v="0"/>
  </r>
  <r>
    <n v="377"/>
    <x v="12"/>
    <d v="1986-06-06T00:00:00"/>
    <x v="0"/>
    <x v="7"/>
    <n v="1"/>
    <n v="0"/>
    <x v="49"/>
    <b v="0"/>
    <n v="1"/>
    <x v="0"/>
  </r>
  <r>
    <n v="378"/>
    <x v="12"/>
    <d v="1986-06-06T00:00:00"/>
    <x v="0"/>
    <x v="18"/>
    <n v="0"/>
    <n v="0"/>
    <x v="39"/>
    <b v="0"/>
    <n v="0"/>
    <x v="1"/>
  </r>
  <r>
    <n v="379"/>
    <x v="12"/>
    <d v="1986-06-07T00:00:00"/>
    <x v="0"/>
    <x v="21"/>
    <n v="1"/>
    <n v="2"/>
    <x v="16"/>
    <b v="0"/>
    <n v="3"/>
    <x v="2"/>
  </r>
  <r>
    <n v="380"/>
    <x v="12"/>
    <d v="1986-06-07T00:00:00"/>
    <x v="0"/>
    <x v="22"/>
    <n v="1"/>
    <n v="1"/>
    <x v="6"/>
    <b v="1"/>
    <n v="2"/>
    <x v="1"/>
  </r>
  <r>
    <n v="381"/>
    <x v="12"/>
    <d v="1986-06-07T00:00:00"/>
    <x v="0"/>
    <x v="31"/>
    <n v="1"/>
    <n v="0"/>
    <x v="37"/>
    <b v="0"/>
    <n v="1"/>
    <x v="0"/>
  </r>
  <r>
    <n v="382"/>
    <x v="12"/>
    <d v="1986-06-08T00:00:00"/>
    <x v="0"/>
    <x v="42"/>
    <n v="1"/>
    <n v="2"/>
    <x v="1"/>
    <b v="0"/>
    <n v="3"/>
    <x v="2"/>
  </r>
  <r>
    <n v="383"/>
    <x v="12"/>
    <d v="1986-06-08T00:00:00"/>
    <x v="0"/>
    <x v="13"/>
    <n v="2"/>
    <n v="1"/>
    <x v="27"/>
    <b v="0"/>
    <n v="3"/>
    <x v="0"/>
  </r>
  <r>
    <n v="384"/>
    <x v="12"/>
    <d v="1986-06-08T00:00:00"/>
    <x v="0"/>
    <x v="43"/>
    <n v="6"/>
    <n v="1"/>
    <x v="30"/>
    <b v="0"/>
    <n v="7"/>
    <x v="0"/>
  </r>
  <r>
    <n v="385"/>
    <x v="12"/>
    <d v="1986-06-09T00:00:00"/>
    <x v="0"/>
    <x v="10"/>
    <n v="0"/>
    <n v="3"/>
    <x v="4"/>
    <b v="0"/>
    <n v="3"/>
    <x v="2"/>
  </r>
  <r>
    <n v="386"/>
    <x v="12"/>
    <d v="1986-06-09T00:00:00"/>
    <x v="0"/>
    <x v="20"/>
    <n v="2"/>
    <n v="0"/>
    <x v="54"/>
    <b v="0"/>
    <n v="2"/>
    <x v="0"/>
  </r>
  <r>
    <n v="387"/>
    <x v="12"/>
    <d v="1986-06-10T00:00:00"/>
    <x v="0"/>
    <x v="41"/>
    <n v="2"/>
    <n v="3"/>
    <x v="25"/>
    <b v="0"/>
    <n v="5"/>
    <x v="2"/>
  </r>
  <r>
    <n v="388"/>
    <x v="12"/>
    <d v="1986-06-10T00:00:00"/>
    <x v="0"/>
    <x v="4"/>
    <n v="2"/>
    <n v="0"/>
    <x v="35"/>
    <b v="0"/>
    <n v="2"/>
    <x v="0"/>
  </r>
  <r>
    <n v="389"/>
    <x v="12"/>
    <d v="1986-06-11T00:00:00"/>
    <x v="0"/>
    <x v="8"/>
    <n v="2"/>
    <n v="2"/>
    <x v="1"/>
    <b v="0"/>
    <n v="4"/>
    <x v="1"/>
  </r>
  <r>
    <n v="390"/>
    <x v="12"/>
    <d v="1986-06-11T00:00:00"/>
    <x v="0"/>
    <x v="22"/>
    <n v="1"/>
    <n v="0"/>
    <x v="52"/>
    <b v="1"/>
    <n v="1"/>
    <x v="0"/>
  </r>
  <r>
    <n v="391"/>
    <x v="12"/>
    <d v="1986-06-11T00:00:00"/>
    <x v="0"/>
    <x v="24"/>
    <n v="1"/>
    <n v="3"/>
    <x v="39"/>
    <b v="0"/>
    <n v="4"/>
    <x v="2"/>
  </r>
  <r>
    <n v="392"/>
    <x v="12"/>
    <d v="1986-06-11T00:00:00"/>
    <x v="0"/>
    <x v="18"/>
    <n v="3"/>
    <n v="0"/>
    <x v="23"/>
    <b v="0"/>
    <n v="3"/>
    <x v="0"/>
  </r>
  <r>
    <n v="393"/>
    <x v="12"/>
    <d v="1986-06-12T00:00:00"/>
    <x v="0"/>
    <x v="21"/>
    <n v="0"/>
    <n v="3"/>
    <x v="2"/>
    <b v="0"/>
    <n v="3"/>
    <x v="2"/>
  </r>
  <r>
    <n v="394"/>
    <x v="12"/>
    <d v="1986-06-12T00:00:00"/>
    <x v="0"/>
    <x v="37"/>
    <n v="0"/>
    <n v="3"/>
    <x v="16"/>
    <b v="0"/>
    <n v="3"/>
    <x v="2"/>
  </r>
  <r>
    <n v="395"/>
    <x v="12"/>
    <d v="1986-06-13T00:00:00"/>
    <x v="0"/>
    <x v="32"/>
    <n v="0"/>
    <n v="0"/>
    <x v="30"/>
    <b v="0"/>
    <n v="0"/>
    <x v="1"/>
  </r>
  <r>
    <n v="396"/>
    <x v="12"/>
    <d v="1986-06-13T00:00:00"/>
    <x v="0"/>
    <x v="43"/>
    <n v="2"/>
    <n v="0"/>
    <x v="19"/>
    <b v="0"/>
    <n v="2"/>
    <x v="0"/>
  </r>
  <r>
    <n v="397"/>
    <x v="12"/>
    <d v="1986-06-15T00:00:00"/>
    <x v="3"/>
    <x v="22"/>
    <n v="2"/>
    <n v="0"/>
    <x v="35"/>
    <b v="1"/>
    <n v="2"/>
    <x v="0"/>
  </r>
  <r>
    <n v="398"/>
    <x v="12"/>
    <d v="1986-06-15T00:00:00"/>
    <x v="3"/>
    <x v="20"/>
    <n v="3"/>
    <n v="4"/>
    <x v="1"/>
    <b v="0"/>
    <n v="7"/>
    <x v="2"/>
  </r>
  <r>
    <n v="399"/>
    <x v="12"/>
    <d v="1986-06-16T00:00:00"/>
    <x v="3"/>
    <x v="7"/>
    <n v="4"/>
    <n v="0"/>
    <x v="23"/>
    <b v="0"/>
    <n v="4"/>
    <x v="0"/>
  </r>
  <r>
    <n v="400"/>
    <x v="12"/>
    <d v="1986-06-16T00:00:00"/>
    <x v="3"/>
    <x v="4"/>
    <n v="1"/>
    <n v="0"/>
    <x v="30"/>
    <b v="0"/>
    <n v="1"/>
    <x v="0"/>
  </r>
  <r>
    <n v="401"/>
    <x v="12"/>
    <d v="1986-06-17T00:00:00"/>
    <x v="3"/>
    <x v="15"/>
    <n v="0"/>
    <n v="2"/>
    <x v="4"/>
    <b v="0"/>
    <n v="2"/>
    <x v="2"/>
  </r>
  <r>
    <n v="402"/>
    <x v="12"/>
    <d v="1986-06-17T00:00:00"/>
    <x v="3"/>
    <x v="40"/>
    <n v="0"/>
    <n v="1"/>
    <x v="19"/>
    <b v="0"/>
    <n v="1"/>
    <x v="2"/>
  </r>
  <r>
    <n v="403"/>
    <x v="12"/>
    <d v="1986-06-18T00:00:00"/>
    <x v="3"/>
    <x v="18"/>
    <n v="3"/>
    <n v="0"/>
    <x v="6"/>
    <b v="0"/>
    <n v="3"/>
    <x v="0"/>
  </r>
  <r>
    <n v="404"/>
    <x v="12"/>
    <d v="1986-06-18T00:00:00"/>
    <x v="3"/>
    <x v="43"/>
    <n v="1"/>
    <n v="5"/>
    <x v="16"/>
    <b v="0"/>
    <n v="6"/>
    <x v="2"/>
  </r>
  <r>
    <n v="405"/>
    <x v="12"/>
    <d v="1986-06-21T00:00:00"/>
    <x v="4"/>
    <x v="7"/>
    <n v="1"/>
    <n v="1"/>
    <x v="4"/>
    <b v="0"/>
    <n v="2"/>
    <x v="1"/>
  </r>
  <r>
    <n v="406"/>
    <x v="12"/>
    <d v="1986-06-21T00:00:00"/>
    <x v="4"/>
    <x v="22"/>
    <n v="0"/>
    <n v="0"/>
    <x v="19"/>
    <b v="1"/>
    <n v="0"/>
    <x v="1"/>
  </r>
  <r>
    <n v="407"/>
    <x v="12"/>
    <d v="1986-06-22T00:00:00"/>
    <x v="4"/>
    <x v="4"/>
    <n v="2"/>
    <n v="1"/>
    <x v="26"/>
    <b v="0"/>
    <n v="3"/>
    <x v="0"/>
  </r>
  <r>
    <n v="408"/>
    <x v="12"/>
    <d v="1986-06-22T00:00:00"/>
    <x v="4"/>
    <x v="14"/>
    <n v="1"/>
    <n v="1"/>
    <x v="1"/>
    <b v="0"/>
    <n v="2"/>
    <x v="1"/>
  </r>
  <r>
    <n v="409"/>
    <x v="12"/>
    <d v="1986-06-25T00:00:00"/>
    <x v="1"/>
    <x v="0"/>
    <n v="0"/>
    <n v="2"/>
    <x v="19"/>
    <b v="0"/>
    <n v="2"/>
    <x v="2"/>
  </r>
  <r>
    <n v="410"/>
    <x v="12"/>
    <d v="1986-06-25T00:00:00"/>
    <x v="1"/>
    <x v="4"/>
    <n v="2"/>
    <n v="0"/>
    <x v="1"/>
    <b v="0"/>
    <n v="2"/>
    <x v="0"/>
  </r>
  <r>
    <n v="411"/>
    <x v="12"/>
    <d v="1986-06-28T00:00:00"/>
    <x v="5"/>
    <x v="0"/>
    <n v="4"/>
    <n v="2"/>
    <x v="1"/>
    <b v="0"/>
    <n v="6"/>
    <x v="0"/>
  </r>
  <r>
    <n v="412"/>
    <x v="12"/>
    <d v="1986-06-29T00:00:00"/>
    <x v="2"/>
    <x v="4"/>
    <n v="3"/>
    <n v="2"/>
    <x v="19"/>
    <b v="0"/>
    <n v="5"/>
    <x v="0"/>
  </r>
  <r>
    <n v="413"/>
    <x v="13"/>
    <d v="1990-06-08T00:00:00"/>
    <x v="0"/>
    <x v="4"/>
    <n v="0"/>
    <n v="1"/>
    <x v="47"/>
    <b v="0"/>
    <n v="1"/>
    <x v="2"/>
  </r>
  <r>
    <n v="414"/>
    <x v="13"/>
    <d v="1990-06-09T00:00:00"/>
    <x v="0"/>
    <x v="20"/>
    <n v="0"/>
    <n v="2"/>
    <x v="7"/>
    <b v="0"/>
    <n v="2"/>
    <x v="2"/>
  </r>
  <r>
    <n v="415"/>
    <x v="13"/>
    <d v="1990-06-09T00:00:00"/>
    <x v="0"/>
    <x v="44"/>
    <n v="0"/>
    <n v="2"/>
    <x v="34"/>
    <b v="0"/>
    <n v="2"/>
    <x v="2"/>
  </r>
  <r>
    <n v="416"/>
    <x v="13"/>
    <d v="1990-06-09T00:00:00"/>
    <x v="0"/>
    <x v="15"/>
    <n v="1"/>
    <n v="0"/>
    <x v="18"/>
    <b v="1"/>
    <n v="1"/>
    <x v="0"/>
  </r>
  <r>
    <n v="417"/>
    <x v="13"/>
    <d v="1990-06-10T00:00:00"/>
    <x v="0"/>
    <x v="1"/>
    <n v="1"/>
    <n v="5"/>
    <x v="20"/>
    <b v="0"/>
    <n v="6"/>
    <x v="2"/>
  </r>
  <r>
    <n v="418"/>
    <x v="13"/>
    <d v="1990-06-10T00:00:00"/>
    <x v="0"/>
    <x v="7"/>
    <n v="2"/>
    <n v="1"/>
    <x v="15"/>
    <b v="0"/>
    <n v="3"/>
    <x v="0"/>
  </r>
  <r>
    <n v="419"/>
    <x v="13"/>
    <d v="1990-06-10T00:00:00"/>
    <x v="0"/>
    <x v="13"/>
    <n v="4"/>
    <n v="1"/>
    <x v="10"/>
    <b v="0"/>
    <n v="5"/>
    <x v="0"/>
  </r>
  <r>
    <n v="420"/>
    <x v="13"/>
    <d v="1990-06-11T00:00:00"/>
    <x v="0"/>
    <x v="45"/>
    <n v="1"/>
    <n v="0"/>
    <x v="27"/>
    <b v="0"/>
    <n v="1"/>
    <x v="0"/>
  </r>
  <r>
    <n v="421"/>
    <x v="13"/>
    <d v="1990-06-11T00:00:00"/>
    <x v="0"/>
    <x v="18"/>
    <n v="1"/>
    <n v="1"/>
    <x v="55"/>
    <b v="0"/>
    <n v="2"/>
    <x v="1"/>
  </r>
  <r>
    <n v="422"/>
    <x v="13"/>
    <d v="1990-06-12T00:00:00"/>
    <x v="0"/>
    <x v="27"/>
    <n v="2"/>
    <n v="0"/>
    <x v="29"/>
    <b v="0"/>
    <n v="2"/>
    <x v="0"/>
  </r>
  <r>
    <n v="423"/>
    <x v="13"/>
    <d v="1990-06-12T00:00:00"/>
    <x v="0"/>
    <x v="33"/>
    <n v="1"/>
    <n v="1"/>
    <x v="12"/>
    <b v="0"/>
    <n v="2"/>
    <x v="1"/>
  </r>
  <r>
    <n v="424"/>
    <x v="13"/>
    <d v="1990-06-13T00:00:00"/>
    <x v="0"/>
    <x v="6"/>
    <n v="0"/>
    <n v="0"/>
    <x v="16"/>
    <b v="0"/>
    <n v="0"/>
    <x v="1"/>
  </r>
  <r>
    <n v="425"/>
    <x v="13"/>
    <d v="1990-06-13T00:00:00"/>
    <x v="0"/>
    <x v="4"/>
    <n v="2"/>
    <n v="0"/>
    <x v="33"/>
    <b v="0"/>
    <n v="2"/>
    <x v="0"/>
  </r>
  <r>
    <n v="426"/>
    <x v="13"/>
    <d v="1990-06-14T00:00:00"/>
    <x v="0"/>
    <x v="46"/>
    <n v="2"/>
    <n v="1"/>
    <x v="7"/>
    <b v="0"/>
    <n v="3"/>
    <x v="0"/>
  </r>
  <r>
    <n v="427"/>
    <x v="13"/>
    <d v="1990-06-14T00:00:00"/>
    <x v="0"/>
    <x v="2"/>
    <n v="1"/>
    <n v="0"/>
    <x v="34"/>
    <b v="0"/>
    <n v="1"/>
    <x v="0"/>
  </r>
  <r>
    <n v="428"/>
    <x v="13"/>
    <d v="1990-06-14T00:00:00"/>
    <x v="0"/>
    <x v="15"/>
    <n v="1"/>
    <n v="0"/>
    <x v="9"/>
    <b v="1"/>
    <n v="1"/>
    <x v="0"/>
  </r>
  <r>
    <n v="429"/>
    <x v="13"/>
    <d v="1990-06-15T00:00:00"/>
    <x v="0"/>
    <x v="9"/>
    <n v="0"/>
    <n v="1"/>
    <x v="20"/>
    <b v="0"/>
    <n v="1"/>
    <x v="2"/>
  </r>
  <r>
    <n v="430"/>
    <x v="13"/>
    <d v="1990-06-15T00:00:00"/>
    <x v="0"/>
    <x v="13"/>
    <n v="5"/>
    <n v="1"/>
    <x v="56"/>
    <b v="0"/>
    <n v="6"/>
    <x v="0"/>
  </r>
  <r>
    <n v="431"/>
    <x v="13"/>
    <d v="1990-06-16T00:00:00"/>
    <x v="0"/>
    <x v="7"/>
    <n v="1"/>
    <n v="0"/>
    <x v="57"/>
    <b v="0"/>
    <n v="1"/>
    <x v="0"/>
  </r>
  <r>
    <n v="432"/>
    <x v="13"/>
    <d v="1990-06-16T00:00:00"/>
    <x v="0"/>
    <x v="12"/>
    <n v="1"/>
    <n v="2"/>
    <x v="27"/>
    <b v="0"/>
    <n v="3"/>
    <x v="2"/>
  </r>
  <r>
    <n v="433"/>
    <x v="13"/>
    <d v="1990-06-16T00:00:00"/>
    <x v="0"/>
    <x v="18"/>
    <n v="0"/>
    <n v="0"/>
    <x v="13"/>
    <b v="0"/>
    <n v="0"/>
    <x v="1"/>
  </r>
  <r>
    <n v="434"/>
    <x v="13"/>
    <d v="1990-06-17T00:00:00"/>
    <x v="0"/>
    <x v="47"/>
    <n v="0"/>
    <n v="0"/>
    <x v="12"/>
    <b v="0"/>
    <n v="0"/>
    <x v="1"/>
  </r>
  <r>
    <n v="435"/>
    <x v="13"/>
    <d v="1990-06-17T00:00:00"/>
    <x v="0"/>
    <x v="41"/>
    <n v="1"/>
    <n v="3"/>
    <x v="16"/>
    <b v="0"/>
    <n v="4"/>
    <x v="2"/>
  </r>
  <r>
    <n v="436"/>
    <x v="13"/>
    <d v="1990-06-17T00:00:00"/>
    <x v="0"/>
    <x v="27"/>
    <n v="3"/>
    <n v="1"/>
    <x v="30"/>
    <b v="0"/>
    <n v="4"/>
    <x v="0"/>
  </r>
  <r>
    <n v="437"/>
    <x v="13"/>
    <d v="1990-06-18T00:00:00"/>
    <x v="0"/>
    <x v="4"/>
    <n v="1"/>
    <n v="1"/>
    <x v="7"/>
    <b v="0"/>
    <n v="2"/>
    <x v="1"/>
  </r>
  <r>
    <n v="438"/>
    <x v="13"/>
    <d v="1990-06-18T00:00:00"/>
    <x v="0"/>
    <x v="46"/>
    <n v="0"/>
    <n v="4"/>
    <x v="33"/>
    <b v="0"/>
    <n v="4"/>
    <x v="2"/>
  </r>
  <r>
    <n v="439"/>
    <x v="13"/>
    <d v="1990-06-19T00:00:00"/>
    <x v="0"/>
    <x v="13"/>
    <n v="1"/>
    <n v="1"/>
    <x v="34"/>
    <b v="0"/>
    <n v="2"/>
    <x v="1"/>
  </r>
  <r>
    <n v="440"/>
    <x v="13"/>
    <d v="1990-06-19T00:00:00"/>
    <x v="0"/>
    <x v="2"/>
    <n v="4"/>
    <n v="1"/>
    <x v="56"/>
    <b v="0"/>
    <n v="5"/>
    <x v="0"/>
  </r>
  <r>
    <n v="441"/>
    <x v="13"/>
    <d v="1990-06-19T00:00:00"/>
    <x v="0"/>
    <x v="15"/>
    <n v="2"/>
    <n v="0"/>
    <x v="20"/>
    <b v="1"/>
    <n v="2"/>
    <x v="0"/>
  </r>
  <r>
    <n v="442"/>
    <x v="13"/>
    <d v="1990-06-19T00:00:00"/>
    <x v="0"/>
    <x v="9"/>
    <n v="2"/>
    <n v="1"/>
    <x v="9"/>
    <b v="0"/>
    <n v="3"/>
    <x v="0"/>
  </r>
  <r>
    <n v="443"/>
    <x v="13"/>
    <d v="1990-06-20T00:00:00"/>
    <x v="0"/>
    <x v="7"/>
    <n v="1"/>
    <n v="0"/>
    <x v="27"/>
    <b v="0"/>
    <n v="1"/>
    <x v="0"/>
  </r>
  <r>
    <n v="444"/>
    <x v="13"/>
    <d v="1990-06-20T00:00:00"/>
    <x v="0"/>
    <x v="12"/>
    <n v="1"/>
    <n v="2"/>
    <x v="57"/>
    <b v="0"/>
    <n v="3"/>
    <x v="2"/>
  </r>
  <r>
    <n v="445"/>
    <x v="13"/>
    <d v="1990-06-21T00:00:00"/>
    <x v="0"/>
    <x v="41"/>
    <n v="0"/>
    <n v="1"/>
    <x v="30"/>
    <b v="0"/>
    <n v="1"/>
    <x v="2"/>
  </r>
  <r>
    <n v="446"/>
    <x v="13"/>
    <d v="1990-06-21T00:00:00"/>
    <x v="0"/>
    <x v="27"/>
    <n v="1"/>
    <n v="2"/>
    <x v="16"/>
    <b v="0"/>
    <n v="3"/>
    <x v="2"/>
  </r>
  <r>
    <n v="447"/>
    <x v="13"/>
    <d v="1990-06-21T00:00:00"/>
    <x v="0"/>
    <x v="47"/>
    <n v="1"/>
    <n v="1"/>
    <x v="13"/>
    <b v="0"/>
    <n v="2"/>
    <x v="1"/>
  </r>
  <r>
    <n v="448"/>
    <x v="13"/>
    <d v="1990-06-21T00:00:00"/>
    <x v="0"/>
    <x v="18"/>
    <n v="1"/>
    <n v="0"/>
    <x v="12"/>
    <b v="0"/>
    <n v="1"/>
    <x v="0"/>
  </r>
  <r>
    <n v="449"/>
    <x v="13"/>
    <d v="1990-06-23T00:00:00"/>
    <x v="3"/>
    <x v="46"/>
    <n v="2"/>
    <n v="1"/>
    <x v="34"/>
    <b v="0"/>
    <n v="3"/>
    <x v="0"/>
  </r>
  <r>
    <n v="450"/>
    <x v="13"/>
    <d v="1990-06-23T00:00:00"/>
    <x v="3"/>
    <x v="16"/>
    <n v="4"/>
    <n v="1"/>
    <x v="57"/>
    <b v="0"/>
    <n v="5"/>
    <x v="0"/>
  </r>
  <r>
    <n v="451"/>
    <x v="13"/>
    <d v="1990-06-24T00:00:00"/>
    <x v="3"/>
    <x v="7"/>
    <n v="0"/>
    <n v="1"/>
    <x v="11"/>
    <b v="0"/>
    <n v="1"/>
    <x v="2"/>
  </r>
  <r>
    <n v="452"/>
    <x v="13"/>
    <d v="1990-06-24T00:00:00"/>
    <x v="3"/>
    <x v="13"/>
    <n v="2"/>
    <n v="1"/>
    <x v="13"/>
    <b v="0"/>
    <n v="3"/>
    <x v="0"/>
  </r>
  <r>
    <n v="453"/>
    <x v="13"/>
    <d v="1990-06-25T00:00:00"/>
    <x v="3"/>
    <x v="47"/>
    <n v="0"/>
    <n v="0"/>
    <x v="7"/>
    <b v="0"/>
    <n v="0"/>
    <x v="1"/>
  </r>
  <r>
    <n v="454"/>
    <x v="13"/>
    <d v="1990-06-25T00:00:00"/>
    <x v="3"/>
    <x v="15"/>
    <n v="2"/>
    <n v="0"/>
    <x v="30"/>
    <b v="1"/>
    <n v="2"/>
    <x v="0"/>
  </r>
  <r>
    <n v="455"/>
    <x v="13"/>
    <d v="1990-06-26T00:00:00"/>
    <x v="3"/>
    <x v="14"/>
    <n v="1"/>
    <n v="2"/>
    <x v="10"/>
    <b v="0"/>
    <n v="3"/>
    <x v="2"/>
  </r>
  <r>
    <n v="456"/>
    <x v="13"/>
    <d v="1990-06-26T00:00:00"/>
    <x v="3"/>
    <x v="18"/>
    <n v="1"/>
    <n v="0"/>
    <x v="1"/>
    <b v="0"/>
    <n v="1"/>
    <x v="0"/>
  </r>
  <r>
    <n v="457"/>
    <x v="13"/>
    <d v="1990-06-30T00:00:00"/>
    <x v="4"/>
    <x v="2"/>
    <n v="0"/>
    <n v="0"/>
    <x v="11"/>
    <b v="0"/>
    <n v="0"/>
    <x v="1"/>
  </r>
  <r>
    <n v="458"/>
    <x v="13"/>
    <d v="1990-06-30T00:00:00"/>
    <x v="4"/>
    <x v="15"/>
    <n v="1"/>
    <n v="0"/>
    <x v="55"/>
    <b v="1"/>
    <n v="1"/>
    <x v="0"/>
  </r>
  <r>
    <n v="459"/>
    <x v="13"/>
    <d v="1990-07-01T00:00:00"/>
    <x v="4"/>
    <x v="13"/>
    <n v="1"/>
    <n v="0"/>
    <x v="20"/>
    <b v="0"/>
    <n v="1"/>
    <x v="0"/>
  </r>
  <r>
    <n v="460"/>
    <x v="13"/>
    <d v="1990-07-01T00:00:00"/>
    <x v="4"/>
    <x v="18"/>
    <n v="3"/>
    <n v="2"/>
    <x v="47"/>
    <b v="0"/>
    <n v="5"/>
    <x v="0"/>
  </r>
  <r>
    <n v="461"/>
    <x v="13"/>
    <d v="1990-07-03T00:00:00"/>
    <x v="1"/>
    <x v="15"/>
    <n v="1"/>
    <n v="1"/>
    <x v="11"/>
    <b v="1"/>
    <n v="2"/>
    <x v="1"/>
  </r>
  <r>
    <n v="462"/>
    <x v="13"/>
    <d v="1990-07-04T00:00:00"/>
    <x v="1"/>
    <x v="13"/>
    <n v="1"/>
    <n v="1"/>
    <x v="26"/>
    <b v="0"/>
    <n v="2"/>
    <x v="1"/>
  </r>
  <r>
    <n v="463"/>
    <x v="13"/>
    <d v="1990-07-07T00:00:00"/>
    <x v="5"/>
    <x v="15"/>
    <n v="2"/>
    <n v="1"/>
    <x v="26"/>
    <b v="1"/>
    <n v="3"/>
    <x v="0"/>
  </r>
  <r>
    <n v="464"/>
    <x v="13"/>
    <d v="1990-07-08T00:00:00"/>
    <x v="2"/>
    <x v="13"/>
    <n v="1"/>
    <n v="0"/>
    <x v="11"/>
    <b v="0"/>
    <n v="1"/>
    <x v="0"/>
  </r>
  <r>
    <n v="465"/>
    <x v="14"/>
    <d v="1994-06-17T00:00:00"/>
    <x v="0"/>
    <x v="13"/>
    <n v="1"/>
    <n v="0"/>
    <x v="5"/>
    <b v="0"/>
    <n v="1"/>
    <x v="0"/>
  </r>
  <r>
    <n v="466"/>
    <x v="14"/>
    <d v="1994-06-17T00:00:00"/>
    <x v="0"/>
    <x v="14"/>
    <n v="2"/>
    <n v="2"/>
    <x v="29"/>
    <b v="0"/>
    <n v="4"/>
    <x v="1"/>
  </r>
  <r>
    <n v="467"/>
    <x v="14"/>
    <d v="1994-06-18T00:00:00"/>
    <x v="0"/>
    <x v="1"/>
    <n v="1"/>
    <n v="1"/>
    <x v="14"/>
    <b v="1"/>
    <n v="2"/>
    <x v="1"/>
  </r>
  <r>
    <n v="468"/>
    <x v="14"/>
    <d v="1994-06-18T00:00:00"/>
    <x v="0"/>
    <x v="15"/>
    <n v="0"/>
    <n v="1"/>
    <x v="55"/>
    <b v="0"/>
    <n v="1"/>
    <x v="2"/>
  </r>
  <r>
    <n v="469"/>
    <x v="14"/>
    <d v="1994-06-18T00:00:00"/>
    <x v="0"/>
    <x v="48"/>
    <n v="1"/>
    <n v="3"/>
    <x v="7"/>
    <b v="0"/>
    <n v="4"/>
    <x v="2"/>
  </r>
  <r>
    <n v="470"/>
    <x v="14"/>
    <d v="1994-06-19T00:00:00"/>
    <x v="0"/>
    <x v="27"/>
    <n v="1"/>
    <n v="0"/>
    <x v="39"/>
    <b v="0"/>
    <n v="1"/>
    <x v="0"/>
  </r>
  <r>
    <n v="471"/>
    <x v="14"/>
    <d v="1994-06-19T00:00:00"/>
    <x v="0"/>
    <x v="49"/>
    <n v="1"/>
    <n v="0"/>
    <x v="0"/>
    <b v="0"/>
    <n v="1"/>
    <x v="0"/>
  </r>
  <r>
    <n v="472"/>
    <x v="14"/>
    <d v="1994-06-19T00:00:00"/>
    <x v="0"/>
    <x v="46"/>
    <n v="2"/>
    <n v="2"/>
    <x v="15"/>
    <b v="0"/>
    <n v="4"/>
    <x v="1"/>
  </r>
  <r>
    <n v="473"/>
    <x v="14"/>
    <d v="1994-06-20T00:00:00"/>
    <x v="0"/>
    <x v="7"/>
    <n v="2"/>
    <n v="0"/>
    <x v="33"/>
    <b v="0"/>
    <n v="2"/>
    <x v="0"/>
  </r>
  <r>
    <n v="474"/>
    <x v="14"/>
    <d v="1994-06-20T00:00:00"/>
    <x v="0"/>
    <x v="33"/>
    <n v="2"/>
    <n v="1"/>
    <x v="58"/>
    <b v="0"/>
    <n v="3"/>
    <x v="0"/>
  </r>
  <r>
    <n v="475"/>
    <x v="14"/>
    <d v="1994-06-21T00:00:00"/>
    <x v="0"/>
    <x v="4"/>
    <n v="4"/>
    <n v="0"/>
    <x v="59"/>
    <b v="0"/>
    <n v="4"/>
    <x v="0"/>
  </r>
  <r>
    <n v="476"/>
    <x v="14"/>
    <d v="1994-06-21T00:00:00"/>
    <x v="0"/>
    <x v="13"/>
    <n v="1"/>
    <n v="1"/>
    <x v="16"/>
    <b v="0"/>
    <n v="2"/>
    <x v="1"/>
  </r>
  <r>
    <n v="477"/>
    <x v="14"/>
    <d v="1994-06-21T00:00:00"/>
    <x v="0"/>
    <x v="50"/>
    <n v="3"/>
    <n v="0"/>
    <x v="35"/>
    <b v="0"/>
    <n v="3"/>
    <x v="0"/>
  </r>
  <r>
    <n v="478"/>
    <x v="14"/>
    <d v="1994-06-22T00:00:00"/>
    <x v="0"/>
    <x v="3"/>
    <n v="1"/>
    <n v="4"/>
    <x v="14"/>
    <b v="0"/>
    <n v="5"/>
    <x v="2"/>
  </r>
  <r>
    <n v="479"/>
    <x v="14"/>
    <d v="1994-06-22T00:00:00"/>
    <x v="0"/>
    <x v="1"/>
    <n v="2"/>
    <n v="1"/>
    <x v="34"/>
    <b v="1"/>
    <n v="3"/>
    <x v="0"/>
  </r>
  <r>
    <n v="480"/>
    <x v="14"/>
    <d v="1994-06-23T00:00:00"/>
    <x v="0"/>
    <x v="15"/>
    <n v="1"/>
    <n v="0"/>
    <x v="22"/>
    <b v="0"/>
    <n v="1"/>
    <x v="0"/>
  </r>
  <r>
    <n v="481"/>
    <x v="14"/>
    <d v="1994-06-23T00:00:00"/>
    <x v="0"/>
    <x v="41"/>
    <n v="0"/>
    <n v="0"/>
    <x v="5"/>
    <b v="0"/>
    <n v="0"/>
    <x v="1"/>
  </r>
  <r>
    <n v="482"/>
    <x v="14"/>
    <d v="1994-06-24T00:00:00"/>
    <x v="0"/>
    <x v="22"/>
    <n v="2"/>
    <n v="1"/>
    <x v="55"/>
    <b v="0"/>
    <n v="3"/>
    <x v="0"/>
  </r>
  <r>
    <n v="483"/>
    <x v="14"/>
    <d v="1994-06-24T00:00:00"/>
    <x v="0"/>
    <x v="7"/>
    <n v="3"/>
    <n v="0"/>
    <x v="47"/>
    <b v="0"/>
    <n v="3"/>
    <x v="0"/>
  </r>
  <r>
    <n v="484"/>
    <x v="14"/>
    <d v="1994-06-24T00:00:00"/>
    <x v="0"/>
    <x v="12"/>
    <n v="3"/>
    <n v="1"/>
    <x v="33"/>
    <b v="0"/>
    <n v="4"/>
    <x v="0"/>
  </r>
  <r>
    <n v="485"/>
    <x v="14"/>
    <d v="1994-06-25T00:00:00"/>
    <x v="0"/>
    <x v="27"/>
    <n v="1"/>
    <n v="0"/>
    <x v="13"/>
    <b v="0"/>
    <n v="1"/>
    <x v="0"/>
  </r>
  <r>
    <n v="486"/>
    <x v="14"/>
    <d v="1994-06-25T00:00:00"/>
    <x v="0"/>
    <x v="51"/>
    <n v="2"/>
    <n v="1"/>
    <x v="39"/>
    <b v="0"/>
    <n v="3"/>
    <x v="0"/>
  </r>
  <r>
    <n v="487"/>
    <x v="14"/>
    <d v="1994-06-25T00:00:00"/>
    <x v="0"/>
    <x v="4"/>
    <n v="2"/>
    <n v="1"/>
    <x v="60"/>
    <b v="0"/>
    <n v="3"/>
    <x v="0"/>
  </r>
  <r>
    <n v="488"/>
    <x v="14"/>
    <d v="1994-06-26T00:00:00"/>
    <x v="0"/>
    <x v="28"/>
    <n v="4"/>
    <n v="0"/>
    <x v="59"/>
    <b v="0"/>
    <n v="4"/>
    <x v="0"/>
  </r>
  <r>
    <n v="489"/>
    <x v="14"/>
    <d v="1994-06-26T00:00:00"/>
    <x v="0"/>
    <x v="1"/>
    <n v="0"/>
    <n v="1"/>
    <x v="7"/>
    <b v="1"/>
    <n v="1"/>
    <x v="2"/>
  </r>
  <r>
    <n v="490"/>
    <x v="14"/>
    <d v="1994-06-26T00:00:00"/>
    <x v="0"/>
    <x v="11"/>
    <n v="0"/>
    <n v="2"/>
    <x v="34"/>
    <b v="0"/>
    <n v="2"/>
    <x v="2"/>
  </r>
  <r>
    <n v="491"/>
    <x v="14"/>
    <d v="1994-06-27T00:00:00"/>
    <x v="0"/>
    <x v="13"/>
    <n v="3"/>
    <n v="2"/>
    <x v="29"/>
    <b v="0"/>
    <n v="5"/>
    <x v="0"/>
  </r>
  <r>
    <n v="492"/>
    <x v="14"/>
    <d v="1994-06-27T00:00:00"/>
    <x v="0"/>
    <x v="52"/>
    <n v="1"/>
    <n v="3"/>
    <x v="16"/>
    <b v="0"/>
    <n v="4"/>
    <x v="2"/>
  </r>
  <r>
    <n v="493"/>
    <x v="14"/>
    <d v="1994-06-28T00:00:00"/>
    <x v="0"/>
    <x v="47"/>
    <n v="0"/>
    <n v="0"/>
    <x v="22"/>
    <b v="0"/>
    <n v="0"/>
    <x v="1"/>
  </r>
  <r>
    <n v="494"/>
    <x v="14"/>
    <d v="1994-06-28T00:00:00"/>
    <x v="0"/>
    <x v="15"/>
    <n v="1"/>
    <n v="1"/>
    <x v="0"/>
    <b v="0"/>
    <n v="2"/>
    <x v="1"/>
  </r>
  <r>
    <n v="495"/>
    <x v="14"/>
    <d v="1994-06-28T00:00:00"/>
    <x v="0"/>
    <x v="7"/>
    <n v="1"/>
    <n v="1"/>
    <x v="15"/>
    <b v="0"/>
    <n v="2"/>
    <x v="1"/>
  </r>
  <r>
    <n v="496"/>
    <x v="14"/>
    <d v="1994-06-28T00:00:00"/>
    <x v="0"/>
    <x v="20"/>
    <n v="6"/>
    <n v="1"/>
    <x v="47"/>
    <b v="0"/>
    <n v="7"/>
    <x v="0"/>
  </r>
  <r>
    <n v="497"/>
    <x v="14"/>
    <d v="1994-06-29T00:00:00"/>
    <x v="0"/>
    <x v="40"/>
    <n v="1"/>
    <n v="2"/>
    <x v="13"/>
    <b v="0"/>
    <n v="3"/>
    <x v="2"/>
  </r>
  <r>
    <n v="498"/>
    <x v="14"/>
    <d v="1994-06-29T00:00:00"/>
    <x v="0"/>
    <x v="27"/>
    <n v="0"/>
    <n v="1"/>
    <x v="58"/>
    <b v="0"/>
    <n v="1"/>
    <x v="2"/>
  </r>
  <r>
    <n v="499"/>
    <x v="14"/>
    <d v="1994-06-30T00:00:00"/>
    <x v="0"/>
    <x v="53"/>
    <n v="0"/>
    <n v="2"/>
    <x v="60"/>
    <b v="0"/>
    <n v="2"/>
    <x v="2"/>
  </r>
  <r>
    <n v="500"/>
    <x v="14"/>
    <d v="1994-06-30T00:00:00"/>
    <x v="0"/>
    <x v="4"/>
    <n v="0"/>
    <n v="2"/>
    <x v="35"/>
    <b v="0"/>
    <n v="2"/>
    <x v="2"/>
  </r>
  <r>
    <n v="501"/>
    <x v="14"/>
    <d v="1994-07-02T00:00:00"/>
    <x v="3"/>
    <x v="13"/>
    <n v="3"/>
    <n v="2"/>
    <x v="1"/>
    <b v="0"/>
    <n v="5"/>
    <x v="0"/>
  </r>
  <r>
    <n v="502"/>
    <x v="14"/>
    <d v="1994-07-02T00:00:00"/>
    <x v="3"/>
    <x v="14"/>
    <n v="3"/>
    <n v="0"/>
    <x v="14"/>
    <b v="0"/>
    <n v="3"/>
    <x v="0"/>
  </r>
  <r>
    <n v="503"/>
    <x v="14"/>
    <d v="1994-07-03T00:00:00"/>
    <x v="3"/>
    <x v="51"/>
    <n v="1"/>
    <n v="3"/>
    <x v="15"/>
    <b v="0"/>
    <n v="4"/>
    <x v="2"/>
  </r>
  <r>
    <n v="504"/>
    <x v="14"/>
    <d v="1994-07-03T00:00:00"/>
    <x v="3"/>
    <x v="3"/>
    <n v="3"/>
    <n v="2"/>
    <x v="11"/>
    <b v="0"/>
    <n v="5"/>
    <x v="0"/>
  </r>
  <r>
    <n v="505"/>
    <x v="14"/>
    <d v="1994-07-04T00:00:00"/>
    <x v="3"/>
    <x v="33"/>
    <n v="2"/>
    <n v="0"/>
    <x v="55"/>
    <b v="0"/>
    <n v="2"/>
    <x v="0"/>
  </r>
  <r>
    <n v="506"/>
    <x v="14"/>
    <d v="1994-07-04T00:00:00"/>
    <x v="3"/>
    <x v="1"/>
    <n v="0"/>
    <n v="1"/>
    <x v="2"/>
    <b v="1"/>
    <n v="1"/>
    <x v="2"/>
  </r>
  <r>
    <n v="507"/>
    <x v="14"/>
    <d v="1994-07-05T00:00:00"/>
    <x v="3"/>
    <x v="50"/>
    <n v="1"/>
    <n v="2"/>
    <x v="25"/>
    <b v="0"/>
    <n v="3"/>
    <x v="2"/>
  </r>
  <r>
    <n v="508"/>
    <x v="14"/>
    <d v="1994-07-05T00:00:00"/>
    <x v="3"/>
    <x v="22"/>
    <n v="1"/>
    <n v="1"/>
    <x v="35"/>
    <b v="0"/>
    <n v="2"/>
    <x v="1"/>
  </r>
  <r>
    <n v="509"/>
    <x v="14"/>
    <d v="1994-07-09T00:00:00"/>
    <x v="4"/>
    <x v="15"/>
    <n v="2"/>
    <n v="1"/>
    <x v="16"/>
    <b v="0"/>
    <n v="3"/>
    <x v="0"/>
  </r>
  <r>
    <n v="510"/>
    <x v="14"/>
    <d v="1994-07-09T00:00:00"/>
    <x v="4"/>
    <x v="33"/>
    <n v="2"/>
    <n v="3"/>
    <x v="2"/>
    <b v="0"/>
    <n v="5"/>
    <x v="2"/>
  </r>
  <r>
    <n v="511"/>
    <x v="14"/>
    <d v="1994-07-10T00:00:00"/>
    <x v="4"/>
    <x v="28"/>
    <n v="2"/>
    <n v="1"/>
    <x v="19"/>
    <b v="0"/>
    <n v="3"/>
    <x v="0"/>
  </r>
  <r>
    <n v="512"/>
    <x v="14"/>
    <d v="1994-07-10T00:00:00"/>
    <x v="4"/>
    <x v="3"/>
    <n v="2"/>
    <n v="2"/>
    <x v="15"/>
    <b v="0"/>
    <n v="4"/>
    <x v="1"/>
  </r>
  <r>
    <n v="513"/>
    <x v="14"/>
    <d v="1994-07-13T00:00:00"/>
    <x v="1"/>
    <x v="28"/>
    <n v="1"/>
    <n v="2"/>
    <x v="25"/>
    <b v="0"/>
    <n v="3"/>
    <x v="2"/>
  </r>
  <r>
    <n v="514"/>
    <x v="14"/>
    <d v="1994-07-13T00:00:00"/>
    <x v="1"/>
    <x v="12"/>
    <n v="0"/>
    <n v="1"/>
    <x v="2"/>
    <b v="0"/>
    <n v="1"/>
    <x v="2"/>
  </r>
  <r>
    <n v="515"/>
    <x v="14"/>
    <d v="1994-07-16T00:00:00"/>
    <x v="5"/>
    <x v="12"/>
    <n v="4"/>
    <n v="0"/>
    <x v="35"/>
    <b v="0"/>
    <n v="4"/>
    <x v="0"/>
  </r>
  <r>
    <n v="516"/>
    <x v="14"/>
    <d v="1994-07-17T00:00:00"/>
    <x v="2"/>
    <x v="7"/>
    <n v="0"/>
    <n v="0"/>
    <x v="25"/>
    <b v="0"/>
    <n v="0"/>
    <x v="1"/>
  </r>
  <r>
    <n v="517"/>
    <x v="15"/>
    <d v="1998-06-10T00:00:00"/>
    <x v="0"/>
    <x v="7"/>
    <n v="2"/>
    <n v="1"/>
    <x v="27"/>
    <b v="0"/>
    <n v="3"/>
    <x v="0"/>
  </r>
  <r>
    <n v="518"/>
    <x v="15"/>
    <d v="1998-06-10T00:00:00"/>
    <x v="0"/>
    <x v="40"/>
    <n v="2"/>
    <n v="2"/>
    <x v="22"/>
    <b v="0"/>
    <n v="4"/>
    <x v="1"/>
  </r>
  <r>
    <n v="519"/>
    <x v="15"/>
    <d v="1998-06-11T00:00:00"/>
    <x v="0"/>
    <x v="15"/>
    <n v="2"/>
    <n v="2"/>
    <x v="8"/>
    <b v="0"/>
    <n v="4"/>
    <x v="1"/>
  </r>
  <r>
    <n v="520"/>
    <x v="15"/>
    <d v="1998-06-11T00:00:00"/>
    <x v="0"/>
    <x v="46"/>
    <n v="1"/>
    <n v="1"/>
    <x v="18"/>
    <b v="0"/>
    <n v="2"/>
    <x v="1"/>
  </r>
  <r>
    <n v="521"/>
    <x v="15"/>
    <d v="1998-06-12T00:00:00"/>
    <x v="0"/>
    <x v="8"/>
    <n v="0"/>
    <n v="0"/>
    <x v="35"/>
    <b v="0"/>
    <n v="0"/>
    <x v="1"/>
  </r>
  <r>
    <n v="522"/>
    <x v="15"/>
    <d v="1998-06-12T00:00:00"/>
    <x v="0"/>
    <x v="51"/>
    <n v="0"/>
    <n v="1"/>
    <x v="53"/>
    <b v="0"/>
    <n v="1"/>
    <x v="2"/>
  </r>
  <r>
    <n v="523"/>
    <x v="15"/>
    <d v="1998-06-12T00:00:00"/>
    <x v="0"/>
    <x v="0"/>
    <n v="3"/>
    <n v="0"/>
    <x v="61"/>
    <b v="1"/>
    <n v="3"/>
    <x v="0"/>
  </r>
  <r>
    <n v="524"/>
    <x v="15"/>
    <d v="1998-06-13T00:00:00"/>
    <x v="0"/>
    <x v="14"/>
    <n v="2"/>
    <n v="3"/>
    <x v="60"/>
    <b v="0"/>
    <n v="5"/>
    <x v="2"/>
  </r>
  <r>
    <n v="525"/>
    <x v="15"/>
    <d v="1998-06-13T00:00:00"/>
    <x v="0"/>
    <x v="41"/>
    <n v="1"/>
    <n v="3"/>
    <x v="0"/>
    <b v="0"/>
    <n v="4"/>
    <x v="2"/>
  </r>
  <r>
    <n v="526"/>
    <x v="15"/>
    <d v="1998-06-13T00:00:00"/>
    <x v="0"/>
    <x v="33"/>
    <n v="0"/>
    <n v="0"/>
    <x v="1"/>
    <b v="0"/>
    <n v="0"/>
    <x v="1"/>
  </r>
  <r>
    <n v="527"/>
    <x v="15"/>
    <d v="1998-06-14T00:00:00"/>
    <x v="0"/>
    <x v="4"/>
    <n v="1"/>
    <n v="0"/>
    <x v="62"/>
    <b v="0"/>
    <n v="1"/>
    <x v="0"/>
  </r>
  <r>
    <n v="528"/>
    <x v="15"/>
    <d v="1998-06-14T00:00:00"/>
    <x v="0"/>
    <x v="2"/>
    <n v="1"/>
    <n v="0"/>
    <x v="45"/>
    <b v="0"/>
    <n v="1"/>
    <x v="0"/>
  </r>
  <r>
    <n v="529"/>
    <x v="15"/>
    <d v="1998-06-14T00:00:00"/>
    <x v="0"/>
    <x v="54"/>
    <n v="1"/>
    <n v="3"/>
    <x v="63"/>
    <b v="0"/>
    <n v="4"/>
    <x v="2"/>
  </r>
  <r>
    <n v="530"/>
    <x v="15"/>
    <d v="1998-06-15T00:00:00"/>
    <x v="0"/>
    <x v="18"/>
    <n v="2"/>
    <n v="0"/>
    <x v="46"/>
    <b v="0"/>
    <n v="2"/>
    <x v="0"/>
  </r>
  <r>
    <n v="531"/>
    <x v="15"/>
    <d v="1998-06-15T00:00:00"/>
    <x v="0"/>
    <x v="3"/>
    <n v="1"/>
    <n v="0"/>
    <x v="34"/>
    <b v="0"/>
    <n v="1"/>
    <x v="0"/>
  </r>
  <r>
    <n v="532"/>
    <x v="15"/>
    <d v="1998-06-15T00:00:00"/>
    <x v="0"/>
    <x v="13"/>
    <n v="2"/>
    <n v="0"/>
    <x v="9"/>
    <b v="0"/>
    <n v="2"/>
    <x v="0"/>
  </r>
  <r>
    <n v="533"/>
    <x v="15"/>
    <d v="1998-06-16T00:00:00"/>
    <x v="0"/>
    <x v="32"/>
    <n v="1"/>
    <n v="1"/>
    <x v="22"/>
    <b v="0"/>
    <n v="2"/>
    <x v="1"/>
  </r>
  <r>
    <n v="534"/>
    <x v="15"/>
    <d v="1998-06-16T00:00:00"/>
    <x v="0"/>
    <x v="7"/>
    <n v="3"/>
    <n v="0"/>
    <x v="39"/>
    <b v="0"/>
    <n v="3"/>
    <x v="0"/>
  </r>
  <r>
    <n v="535"/>
    <x v="15"/>
    <d v="1998-06-17T00:00:00"/>
    <x v="0"/>
    <x v="5"/>
    <n v="1"/>
    <n v="1"/>
    <x v="18"/>
    <b v="0"/>
    <n v="2"/>
    <x v="1"/>
  </r>
  <r>
    <n v="536"/>
    <x v="15"/>
    <d v="1998-06-17T00:00:00"/>
    <x v="0"/>
    <x v="15"/>
    <n v="3"/>
    <n v="0"/>
    <x v="47"/>
    <b v="0"/>
    <n v="3"/>
    <x v="0"/>
  </r>
  <r>
    <n v="537"/>
    <x v="15"/>
    <d v="1998-06-18T00:00:00"/>
    <x v="0"/>
    <x v="55"/>
    <n v="1"/>
    <n v="1"/>
    <x v="53"/>
    <b v="0"/>
    <n v="2"/>
    <x v="1"/>
  </r>
  <r>
    <n v="538"/>
    <x v="15"/>
    <d v="1998-06-18T00:00:00"/>
    <x v="0"/>
    <x v="0"/>
    <n v="4"/>
    <n v="0"/>
    <x v="58"/>
    <b v="1"/>
    <n v="4"/>
    <x v="0"/>
  </r>
  <r>
    <n v="539"/>
    <x v="15"/>
    <d v="1998-06-19T00:00:00"/>
    <x v="0"/>
    <x v="50"/>
    <n v="1"/>
    <n v="0"/>
    <x v="35"/>
    <b v="0"/>
    <n v="1"/>
    <x v="0"/>
  </r>
  <r>
    <n v="540"/>
    <x v="15"/>
    <d v="1998-06-19T00:00:00"/>
    <x v="0"/>
    <x v="14"/>
    <n v="0"/>
    <n v="0"/>
    <x v="6"/>
    <b v="0"/>
    <n v="0"/>
    <x v="1"/>
  </r>
  <r>
    <n v="541"/>
    <x v="15"/>
    <d v="1998-06-20T00:00:00"/>
    <x v="0"/>
    <x v="56"/>
    <n v="0"/>
    <n v="1"/>
    <x v="63"/>
    <b v="0"/>
    <n v="1"/>
    <x v="2"/>
  </r>
  <r>
    <n v="542"/>
    <x v="15"/>
    <d v="1998-06-20T00:00:00"/>
    <x v="0"/>
    <x v="27"/>
    <n v="2"/>
    <n v="2"/>
    <x v="0"/>
    <b v="0"/>
    <n v="4"/>
    <x v="1"/>
  </r>
  <r>
    <n v="543"/>
    <x v="15"/>
    <d v="1998-06-20T00:00:00"/>
    <x v="0"/>
    <x v="33"/>
    <n v="5"/>
    <n v="0"/>
    <x v="29"/>
    <b v="0"/>
    <n v="5"/>
    <x v="0"/>
  </r>
  <r>
    <n v="544"/>
    <x v="15"/>
    <d v="1998-06-21T00:00:00"/>
    <x v="0"/>
    <x v="13"/>
    <n v="2"/>
    <n v="2"/>
    <x v="10"/>
    <b v="0"/>
    <n v="4"/>
    <x v="1"/>
  </r>
  <r>
    <n v="545"/>
    <x v="15"/>
    <d v="1998-06-21T00:00:00"/>
    <x v="0"/>
    <x v="4"/>
    <n v="5"/>
    <n v="0"/>
    <x v="64"/>
    <b v="0"/>
    <n v="5"/>
    <x v="0"/>
  </r>
  <r>
    <n v="546"/>
    <x v="15"/>
    <d v="1998-06-21T00:00:00"/>
    <x v="0"/>
    <x v="1"/>
    <n v="1"/>
    <n v="2"/>
    <x v="45"/>
    <b v="0"/>
    <n v="3"/>
    <x v="2"/>
  </r>
  <r>
    <n v="547"/>
    <x v="15"/>
    <d v="1998-06-22T00:00:00"/>
    <x v="0"/>
    <x v="48"/>
    <n v="1"/>
    <n v="0"/>
    <x v="46"/>
    <b v="0"/>
    <n v="1"/>
    <x v="0"/>
  </r>
  <r>
    <n v="548"/>
    <x v="15"/>
    <d v="1998-06-22T00:00:00"/>
    <x v="0"/>
    <x v="3"/>
    <n v="2"/>
    <n v="1"/>
    <x v="26"/>
    <b v="0"/>
    <n v="3"/>
    <x v="0"/>
  </r>
  <r>
    <n v="549"/>
    <x v="15"/>
    <d v="1998-06-23T00:00:00"/>
    <x v="0"/>
    <x v="15"/>
    <n v="2"/>
    <n v="1"/>
    <x v="18"/>
    <b v="0"/>
    <n v="3"/>
    <x v="0"/>
  </r>
  <r>
    <n v="550"/>
    <x v="15"/>
    <d v="1998-06-23T00:00:00"/>
    <x v="0"/>
    <x v="5"/>
    <n v="1"/>
    <n v="1"/>
    <x v="47"/>
    <b v="0"/>
    <n v="2"/>
    <x v="1"/>
  </r>
  <r>
    <n v="551"/>
    <x v="15"/>
    <d v="1998-06-23T00:00:00"/>
    <x v="0"/>
    <x v="32"/>
    <n v="0"/>
    <n v="3"/>
    <x v="39"/>
    <b v="0"/>
    <n v="3"/>
    <x v="2"/>
  </r>
  <r>
    <n v="552"/>
    <x v="15"/>
    <d v="1998-06-23T00:00:00"/>
    <x v="0"/>
    <x v="7"/>
    <n v="1"/>
    <n v="2"/>
    <x v="22"/>
    <b v="0"/>
    <n v="3"/>
    <x v="2"/>
  </r>
  <r>
    <n v="553"/>
    <x v="15"/>
    <d v="1998-06-24T00:00:00"/>
    <x v="0"/>
    <x v="0"/>
    <n v="2"/>
    <n v="1"/>
    <x v="53"/>
    <b v="1"/>
    <n v="3"/>
    <x v="0"/>
  </r>
  <r>
    <n v="554"/>
    <x v="15"/>
    <d v="1998-06-24T00:00:00"/>
    <x v="0"/>
    <x v="55"/>
    <n v="2"/>
    <n v="2"/>
    <x v="58"/>
    <b v="0"/>
    <n v="4"/>
    <x v="1"/>
  </r>
  <r>
    <n v="555"/>
    <x v="15"/>
    <d v="1998-06-24T00:00:00"/>
    <x v="0"/>
    <x v="14"/>
    <n v="6"/>
    <n v="1"/>
    <x v="35"/>
    <b v="0"/>
    <n v="7"/>
    <x v="0"/>
  </r>
  <r>
    <n v="556"/>
    <x v="15"/>
    <d v="1998-06-24T00:00:00"/>
    <x v="0"/>
    <x v="50"/>
    <n v="1"/>
    <n v="3"/>
    <x v="6"/>
    <b v="0"/>
    <n v="4"/>
    <x v="2"/>
  </r>
  <r>
    <n v="557"/>
    <x v="15"/>
    <d v="1998-06-25T00:00:00"/>
    <x v="0"/>
    <x v="27"/>
    <n v="1"/>
    <n v="1"/>
    <x v="29"/>
    <b v="0"/>
    <n v="2"/>
    <x v="1"/>
  </r>
  <r>
    <n v="558"/>
    <x v="15"/>
    <d v="1998-06-25T00:00:00"/>
    <x v="0"/>
    <x v="33"/>
    <n v="2"/>
    <n v="2"/>
    <x v="0"/>
    <b v="0"/>
    <n v="4"/>
    <x v="1"/>
  </r>
  <r>
    <n v="559"/>
    <x v="15"/>
    <d v="1998-06-25T00:00:00"/>
    <x v="0"/>
    <x v="13"/>
    <n v="2"/>
    <n v="0"/>
    <x v="45"/>
    <b v="0"/>
    <n v="2"/>
    <x v="0"/>
  </r>
  <r>
    <n v="560"/>
    <x v="15"/>
    <d v="1998-06-25T00:00:00"/>
    <x v="0"/>
    <x v="1"/>
    <n v="0"/>
    <n v="1"/>
    <x v="10"/>
    <b v="0"/>
    <n v="1"/>
    <x v="2"/>
  </r>
  <r>
    <n v="561"/>
    <x v="15"/>
    <d v="1998-06-26T00:00:00"/>
    <x v="0"/>
    <x v="56"/>
    <n v="1"/>
    <n v="2"/>
    <x v="64"/>
    <b v="0"/>
    <n v="3"/>
    <x v="2"/>
  </r>
  <r>
    <n v="562"/>
    <x v="15"/>
    <d v="1998-06-26T00:00:00"/>
    <x v="0"/>
    <x v="4"/>
    <n v="1"/>
    <n v="0"/>
    <x v="63"/>
    <b v="0"/>
    <n v="1"/>
    <x v="0"/>
  </r>
  <r>
    <n v="563"/>
    <x v="15"/>
    <d v="1998-06-26T00:00:00"/>
    <x v="0"/>
    <x v="3"/>
    <n v="1"/>
    <n v="1"/>
    <x v="46"/>
    <b v="0"/>
    <n v="2"/>
    <x v="1"/>
  </r>
  <r>
    <n v="564"/>
    <x v="15"/>
    <d v="1998-06-26T00:00:00"/>
    <x v="0"/>
    <x v="48"/>
    <n v="0"/>
    <n v="2"/>
    <x v="26"/>
    <b v="0"/>
    <n v="2"/>
    <x v="2"/>
  </r>
  <r>
    <n v="565"/>
    <x v="15"/>
    <d v="1998-06-27T00:00:00"/>
    <x v="3"/>
    <x v="15"/>
    <n v="1"/>
    <n v="0"/>
    <x v="22"/>
    <b v="0"/>
    <n v="1"/>
    <x v="0"/>
  </r>
  <r>
    <n v="566"/>
    <x v="15"/>
    <d v="1998-06-27T00:00:00"/>
    <x v="3"/>
    <x v="7"/>
    <n v="4"/>
    <n v="1"/>
    <x v="8"/>
    <b v="0"/>
    <n v="5"/>
    <x v="0"/>
  </r>
  <r>
    <n v="567"/>
    <x v="15"/>
    <d v="1998-06-28T00:00:00"/>
    <x v="3"/>
    <x v="0"/>
    <n v="1"/>
    <n v="0"/>
    <x v="6"/>
    <b v="1"/>
    <n v="1"/>
    <x v="0"/>
  </r>
  <r>
    <n v="568"/>
    <x v="15"/>
    <d v="1998-06-28T00:00:00"/>
    <x v="3"/>
    <x v="50"/>
    <n v="1"/>
    <n v="4"/>
    <x v="53"/>
    <b v="0"/>
    <n v="5"/>
    <x v="2"/>
  </r>
  <r>
    <n v="569"/>
    <x v="15"/>
    <d v="1998-06-29T00:00:00"/>
    <x v="3"/>
    <x v="13"/>
    <n v="2"/>
    <n v="1"/>
    <x v="0"/>
    <b v="0"/>
    <n v="3"/>
    <x v="0"/>
  </r>
  <r>
    <n v="570"/>
    <x v="15"/>
    <d v="1998-06-29T00:00:00"/>
    <x v="3"/>
    <x v="33"/>
    <n v="2"/>
    <n v="1"/>
    <x v="10"/>
    <b v="0"/>
    <n v="3"/>
    <x v="0"/>
  </r>
  <r>
    <n v="571"/>
    <x v="15"/>
    <d v="1998-06-30T00:00:00"/>
    <x v="3"/>
    <x v="3"/>
    <n v="0"/>
    <n v="1"/>
    <x v="63"/>
    <b v="0"/>
    <n v="1"/>
    <x v="2"/>
  </r>
  <r>
    <n v="572"/>
    <x v="15"/>
    <d v="1998-06-30T00:00:00"/>
    <x v="3"/>
    <x v="4"/>
    <n v="2"/>
    <n v="2"/>
    <x v="26"/>
    <b v="0"/>
    <n v="4"/>
    <x v="1"/>
  </r>
  <r>
    <n v="573"/>
    <x v="15"/>
    <d v="1998-07-03T00:00:00"/>
    <x v="4"/>
    <x v="0"/>
    <n v="0"/>
    <n v="0"/>
    <x v="25"/>
    <b v="1"/>
    <n v="0"/>
    <x v="1"/>
  </r>
  <r>
    <n v="574"/>
    <x v="15"/>
    <d v="1998-07-03T00:00:00"/>
    <x v="4"/>
    <x v="7"/>
    <n v="3"/>
    <n v="2"/>
    <x v="53"/>
    <b v="0"/>
    <n v="5"/>
    <x v="0"/>
  </r>
  <r>
    <n v="575"/>
    <x v="15"/>
    <d v="1998-07-04T00:00:00"/>
    <x v="4"/>
    <x v="33"/>
    <n v="2"/>
    <n v="1"/>
    <x v="11"/>
    <b v="0"/>
    <n v="3"/>
    <x v="0"/>
  </r>
  <r>
    <n v="576"/>
    <x v="15"/>
    <d v="1998-07-04T00:00:00"/>
    <x v="4"/>
    <x v="13"/>
    <n v="0"/>
    <n v="3"/>
    <x v="63"/>
    <b v="0"/>
    <n v="3"/>
    <x v="2"/>
  </r>
  <r>
    <n v="577"/>
    <x v="15"/>
    <d v="1998-07-07T00:00:00"/>
    <x v="1"/>
    <x v="7"/>
    <n v="1"/>
    <n v="1"/>
    <x v="13"/>
    <b v="0"/>
    <n v="2"/>
    <x v="1"/>
  </r>
  <r>
    <n v="578"/>
    <x v="15"/>
    <d v="1998-07-08T00:00:00"/>
    <x v="1"/>
    <x v="0"/>
    <n v="2"/>
    <n v="1"/>
    <x v="63"/>
    <b v="1"/>
    <n v="3"/>
    <x v="0"/>
  </r>
  <r>
    <n v="579"/>
    <x v="15"/>
    <d v="1998-07-11T00:00:00"/>
    <x v="5"/>
    <x v="33"/>
    <n v="1"/>
    <n v="2"/>
    <x v="63"/>
    <b v="0"/>
    <n v="3"/>
    <x v="2"/>
  </r>
  <r>
    <n v="580"/>
    <x v="15"/>
    <d v="1998-07-12T00:00:00"/>
    <x v="2"/>
    <x v="0"/>
    <n v="3"/>
    <n v="0"/>
    <x v="2"/>
    <b v="1"/>
    <n v="3"/>
    <x v="0"/>
  </r>
  <r>
    <n v="581"/>
    <x v="16"/>
    <d v="2002-05-31T00:00:00"/>
    <x v="0"/>
    <x v="0"/>
    <n v="0"/>
    <n v="1"/>
    <x v="65"/>
    <b v="0"/>
    <n v="1"/>
    <x v="2"/>
  </r>
  <r>
    <n v="582"/>
    <x v="16"/>
    <d v="2002-06-01T00:00:00"/>
    <x v="0"/>
    <x v="47"/>
    <n v="1"/>
    <n v="1"/>
    <x v="47"/>
    <b v="0"/>
    <n v="2"/>
    <x v="1"/>
  </r>
  <r>
    <n v="583"/>
    <x v="16"/>
    <d v="2002-06-01T00:00:00"/>
    <x v="0"/>
    <x v="6"/>
    <n v="1"/>
    <n v="2"/>
    <x v="53"/>
    <b v="0"/>
    <n v="3"/>
    <x v="2"/>
  </r>
  <r>
    <n v="584"/>
    <x v="16"/>
    <d v="2002-06-01T00:00:00"/>
    <x v="0"/>
    <x v="13"/>
    <n v="8"/>
    <n v="0"/>
    <x v="58"/>
    <b v="0"/>
    <n v="8"/>
    <x v="0"/>
  </r>
  <r>
    <n v="585"/>
    <x v="16"/>
    <d v="2002-06-02T00:00:00"/>
    <x v="0"/>
    <x v="4"/>
    <n v="1"/>
    <n v="0"/>
    <x v="60"/>
    <b v="0"/>
    <n v="1"/>
    <x v="0"/>
  </r>
  <r>
    <n v="586"/>
    <x v="16"/>
    <d v="2002-06-02T00:00:00"/>
    <x v="0"/>
    <x v="8"/>
    <n v="2"/>
    <n v="2"/>
    <x v="61"/>
    <b v="0"/>
    <n v="4"/>
    <x v="1"/>
  </r>
  <r>
    <n v="587"/>
    <x v="16"/>
    <d v="2002-06-02T00:00:00"/>
    <x v="0"/>
    <x v="18"/>
    <n v="1"/>
    <n v="1"/>
    <x v="15"/>
    <b v="0"/>
    <n v="2"/>
    <x v="1"/>
  </r>
  <r>
    <n v="588"/>
    <x v="16"/>
    <d v="2002-06-02T00:00:00"/>
    <x v="0"/>
    <x v="14"/>
    <n v="3"/>
    <n v="1"/>
    <x v="66"/>
    <b v="0"/>
    <n v="4"/>
    <x v="0"/>
  </r>
  <r>
    <n v="589"/>
    <x v="16"/>
    <d v="2002-06-03T00:00:00"/>
    <x v="0"/>
    <x v="57"/>
    <n v="0"/>
    <n v="1"/>
    <x v="0"/>
    <b v="0"/>
    <n v="1"/>
    <x v="2"/>
  </r>
  <r>
    <n v="590"/>
    <x v="16"/>
    <d v="2002-06-03T00:00:00"/>
    <x v="0"/>
    <x v="7"/>
    <n v="2"/>
    <n v="1"/>
    <x v="28"/>
    <b v="0"/>
    <n v="3"/>
    <x v="0"/>
  </r>
  <r>
    <n v="591"/>
    <x v="16"/>
    <d v="2002-06-03T00:00:00"/>
    <x v="0"/>
    <x v="15"/>
    <n v="2"/>
    <n v="0"/>
    <x v="67"/>
    <b v="0"/>
    <n v="2"/>
    <x v="0"/>
  </r>
  <r>
    <n v="592"/>
    <x v="16"/>
    <d v="2002-06-04T00:00:00"/>
    <x v="0"/>
    <x v="58"/>
    <n v="0"/>
    <n v="2"/>
    <x v="57"/>
    <b v="0"/>
    <n v="2"/>
    <x v="2"/>
  </r>
  <r>
    <n v="593"/>
    <x v="16"/>
    <d v="2002-06-04T00:00:00"/>
    <x v="0"/>
    <x v="56"/>
    <n v="2"/>
    <n v="2"/>
    <x v="1"/>
    <b v="1"/>
    <n v="4"/>
    <x v="1"/>
  </r>
  <r>
    <n v="594"/>
    <x v="16"/>
    <d v="2002-06-04T00:00:00"/>
    <x v="0"/>
    <x v="41"/>
    <n v="2"/>
    <n v="0"/>
    <x v="23"/>
    <b v="1"/>
    <n v="2"/>
    <x v="0"/>
  </r>
  <r>
    <n v="595"/>
    <x v="16"/>
    <d v="2002-06-05T00:00:00"/>
    <x v="0"/>
    <x v="20"/>
    <n v="2"/>
    <n v="0"/>
    <x v="46"/>
    <b v="0"/>
    <n v="2"/>
    <x v="0"/>
  </r>
  <r>
    <n v="596"/>
    <x v="16"/>
    <d v="2002-06-05T00:00:00"/>
    <x v="0"/>
    <x v="1"/>
    <n v="3"/>
    <n v="2"/>
    <x v="37"/>
    <b v="0"/>
    <n v="5"/>
    <x v="0"/>
  </r>
  <r>
    <n v="597"/>
    <x v="16"/>
    <d v="2002-06-05T00:00:00"/>
    <x v="0"/>
    <x v="13"/>
    <n v="1"/>
    <n v="1"/>
    <x v="55"/>
    <b v="0"/>
    <n v="2"/>
    <x v="1"/>
  </r>
  <r>
    <n v="598"/>
    <x v="16"/>
    <d v="2002-06-06T00:00:00"/>
    <x v="0"/>
    <x v="43"/>
    <n v="1"/>
    <n v="1"/>
    <x v="65"/>
    <b v="0"/>
    <n v="2"/>
    <x v="1"/>
  </r>
  <r>
    <n v="599"/>
    <x v="16"/>
    <d v="2002-06-06T00:00:00"/>
    <x v="0"/>
    <x v="46"/>
    <n v="1"/>
    <n v="0"/>
    <x v="58"/>
    <b v="0"/>
    <n v="1"/>
    <x v="0"/>
  </r>
  <r>
    <n v="600"/>
    <x v="16"/>
    <d v="2002-06-06T00:00:00"/>
    <x v="0"/>
    <x v="0"/>
    <n v="0"/>
    <n v="0"/>
    <x v="30"/>
    <b v="0"/>
    <n v="0"/>
    <x v="1"/>
  </r>
  <r>
    <n v="601"/>
    <x v="16"/>
    <d v="2002-06-07T00:00:00"/>
    <x v="0"/>
    <x v="12"/>
    <n v="2"/>
    <n v="1"/>
    <x v="60"/>
    <b v="0"/>
    <n v="3"/>
    <x v="0"/>
  </r>
  <r>
    <n v="602"/>
    <x v="16"/>
    <d v="2002-06-07T00:00:00"/>
    <x v="0"/>
    <x v="14"/>
    <n v="3"/>
    <n v="1"/>
    <x v="6"/>
    <b v="0"/>
    <n v="4"/>
    <x v="0"/>
  </r>
  <r>
    <n v="603"/>
    <x v="16"/>
    <d v="2002-06-07T00:00:00"/>
    <x v="0"/>
    <x v="4"/>
    <n v="0"/>
    <n v="1"/>
    <x v="26"/>
    <b v="0"/>
    <n v="1"/>
    <x v="2"/>
  </r>
  <r>
    <n v="604"/>
    <x v="16"/>
    <d v="2002-06-08T00:00:00"/>
    <x v="0"/>
    <x v="55"/>
    <n v="1"/>
    <n v="0"/>
    <x v="66"/>
    <b v="0"/>
    <n v="1"/>
    <x v="0"/>
  </r>
  <r>
    <n v="605"/>
    <x v="16"/>
    <d v="2002-06-08T00:00:00"/>
    <x v="0"/>
    <x v="15"/>
    <n v="1"/>
    <n v="2"/>
    <x v="63"/>
    <b v="0"/>
    <n v="3"/>
    <x v="2"/>
  </r>
  <r>
    <n v="606"/>
    <x v="16"/>
    <d v="2002-06-08T00:00:00"/>
    <x v="0"/>
    <x v="7"/>
    <n v="4"/>
    <n v="0"/>
    <x v="68"/>
    <b v="0"/>
    <n v="4"/>
    <x v="0"/>
  </r>
  <r>
    <n v="607"/>
    <x v="16"/>
    <d v="2002-06-09T00:00:00"/>
    <x v="0"/>
    <x v="22"/>
    <n v="2"/>
    <n v="1"/>
    <x v="67"/>
    <b v="0"/>
    <n v="3"/>
    <x v="0"/>
  </r>
  <r>
    <n v="608"/>
    <x v="16"/>
    <d v="2002-06-09T00:00:00"/>
    <x v="0"/>
    <x v="45"/>
    <n v="1"/>
    <n v="1"/>
    <x v="28"/>
    <b v="0"/>
    <n v="2"/>
    <x v="1"/>
  </r>
  <r>
    <n v="609"/>
    <x v="16"/>
    <d v="2002-06-09T00:00:00"/>
    <x v="0"/>
    <x v="56"/>
    <n v="1"/>
    <n v="0"/>
    <x v="33"/>
    <b v="1"/>
    <n v="1"/>
    <x v="0"/>
  </r>
  <r>
    <n v="610"/>
    <x v="16"/>
    <d v="2002-06-10T00:00:00"/>
    <x v="0"/>
    <x v="41"/>
    <n v="1"/>
    <n v="1"/>
    <x v="9"/>
    <b v="1"/>
    <n v="2"/>
    <x v="1"/>
  </r>
  <r>
    <n v="611"/>
    <x v="16"/>
    <d v="2002-06-10T00:00:00"/>
    <x v="0"/>
    <x v="36"/>
    <n v="1"/>
    <n v="1"/>
    <x v="1"/>
    <b v="0"/>
    <n v="2"/>
    <x v="1"/>
  </r>
  <r>
    <n v="612"/>
    <x v="16"/>
    <d v="2002-06-10T00:00:00"/>
    <x v="0"/>
    <x v="24"/>
    <n v="4"/>
    <n v="0"/>
    <x v="23"/>
    <b v="0"/>
    <n v="4"/>
    <x v="0"/>
  </r>
  <r>
    <n v="613"/>
    <x v="16"/>
    <d v="2002-06-11T00:00:00"/>
    <x v="0"/>
    <x v="43"/>
    <n v="2"/>
    <n v="0"/>
    <x v="4"/>
    <b v="0"/>
    <n v="2"/>
    <x v="0"/>
  </r>
  <r>
    <n v="614"/>
    <x v="16"/>
    <d v="2002-06-11T00:00:00"/>
    <x v="0"/>
    <x v="59"/>
    <n v="3"/>
    <n v="3"/>
    <x v="30"/>
    <b v="0"/>
    <n v="6"/>
    <x v="1"/>
  </r>
  <r>
    <n v="615"/>
    <x v="16"/>
    <d v="2002-06-11T00:00:00"/>
    <x v="0"/>
    <x v="51"/>
    <n v="0"/>
    <n v="3"/>
    <x v="55"/>
    <b v="0"/>
    <n v="3"/>
    <x v="2"/>
  </r>
  <r>
    <n v="616"/>
    <x v="16"/>
    <d v="2002-06-11T00:00:00"/>
    <x v="0"/>
    <x v="46"/>
    <n v="0"/>
    <n v="2"/>
    <x v="19"/>
    <b v="0"/>
    <n v="2"/>
    <x v="2"/>
  </r>
  <r>
    <n v="617"/>
    <x v="16"/>
    <d v="2002-06-12T00:00:00"/>
    <x v="0"/>
    <x v="12"/>
    <n v="1"/>
    <n v="1"/>
    <x v="11"/>
    <b v="0"/>
    <n v="2"/>
    <x v="1"/>
  </r>
  <r>
    <n v="618"/>
    <x v="16"/>
    <d v="2002-06-12T00:00:00"/>
    <x v="0"/>
    <x v="50"/>
    <n v="0"/>
    <n v="0"/>
    <x v="26"/>
    <b v="0"/>
    <n v="0"/>
    <x v="1"/>
  </r>
  <r>
    <n v="619"/>
    <x v="16"/>
    <d v="2002-06-12T00:00:00"/>
    <x v="0"/>
    <x v="60"/>
    <n v="1"/>
    <n v="3"/>
    <x v="6"/>
    <b v="0"/>
    <n v="4"/>
    <x v="2"/>
  </r>
  <r>
    <n v="620"/>
    <x v="16"/>
    <d v="2002-06-12T00:00:00"/>
    <x v="0"/>
    <x v="55"/>
    <n v="2"/>
    <n v="3"/>
    <x v="16"/>
    <b v="0"/>
    <n v="5"/>
    <x v="2"/>
  </r>
  <r>
    <n v="621"/>
    <x v="16"/>
    <d v="2002-06-13T00:00:00"/>
    <x v="0"/>
    <x v="45"/>
    <n v="2"/>
    <n v="5"/>
    <x v="2"/>
    <b v="0"/>
    <n v="7"/>
    <x v="2"/>
  </r>
  <r>
    <n v="622"/>
    <x v="16"/>
    <d v="2002-06-13T00:00:00"/>
    <x v="0"/>
    <x v="19"/>
    <n v="3"/>
    <n v="0"/>
    <x v="68"/>
    <b v="0"/>
    <n v="3"/>
    <x v="0"/>
  </r>
  <r>
    <n v="623"/>
    <x v="16"/>
    <d v="2002-06-13T00:00:00"/>
    <x v="0"/>
    <x v="61"/>
    <n v="1"/>
    <n v="0"/>
    <x v="63"/>
    <b v="0"/>
    <n v="1"/>
    <x v="0"/>
  </r>
  <r>
    <n v="624"/>
    <x v="16"/>
    <d v="2002-06-13T00:00:00"/>
    <x v="0"/>
    <x v="22"/>
    <n v="1"/>
    <n v="1"/>
    <x v="25"/>
    <b v="0"/>
    <n v="2"/>
    <x v="1"/>
  </r>
  <r>
    <n v="625"/>
    <x v="16"/>
    <d v="2002-06-14T00:00:00"/>
    <x v="0"/>
    <x v="56"/>
    <n v="2"/>
    <n v="0"/>
    <x v="46"/>
    <b v="1"/>
    <n v="2"/>
    <x v="0"/>
  </r>
  <r>
    <n v="626"/>
    <x v="16"/>
    <d v="2002-06-14T00:00:00"/>
    <x v="0"/>
    <x v="27"/>
    <n v="3"/>
    <n v="2"/>
    <x v="33"/>
    <b v="0"/>
    <n v="5"/>
    <x v="0"/>
  </r>
  <r>
    <n v="627"/>
    <x v="16"/>
    <d v="2002-06-14T00:00:00"/>
    <x v="0"/>
    <x v="41"/>
    <n v="1"/>
    <n v="0"/>
    <x v="37"/>
    <b v="1"/>
    <n v="1"/>
    <x v="0"/>
  </r>
  <r>
    <n v="628"/>
    <x v="16"/>
    <d v="2002-06-14T00:00:00"/>
    <x v="0"/>
    <x v="31"/>
    <n v="3"/>
    <n v="1"/>
    <x v="9"/>
    <b v="0"/>
    <n v="4"/>
    <x v="0"/>
  </r>
  <r>
    <n v="629"/>
    <x v="16"/>
    <d v="2002-06-15T00:00:00"/>
    <x v="3"/>
    <x v="13"/>
    <n v="1"/>
    <n v="0"/>
    <x v="6"/>
    <b v="0"/>
    <n v="1"/>
    <x v="0"/>
  </r>
  <r>
    <n v="630"/>
    <x v="16"/>
    <d v="2002-06-15T00:00:00"/>
    <x v="3"/>
    <x v="43"/>
    <n v="0"/>
    <n v="3"/>
    <x v="26"/>
    <b v="0"/>
    <n v="3"/>
    <x v="2"/>
  </r>
  <r>
    <n v="631"/>
    <x v="16"/>
    <d v="2002-06-16T00:00:00"/>
    <x v="3"/>
    <x v="12"/>
    <n v="1"/>
    <n v="2"/>
    <x v="65"/>
    <b v="0"/>
    <n v="3"/>
    <x v="2"/>
  </r>
  <r>
    <n v="632"/>
    <x v="16"/>
    <d v="2002-06-16T00:00:00"/>
    <x v="3"/>
    <x v="14"/>
    <n v="1"/>
    <n v="1"/>
    <x v="55"/>
    <b v="0"/>
    <n v="2"/>
    <x v="1"/>
  </r>
  <r>
    <n v="633"/>
    <x v="16"/>
    <d v="2002-06-17T00:00:00"/>
    <x v="3"/>
    <x v="22"/>
    <n v="0"/>
    <n v="2"/>
    <x v="9"/>
    <b v="0"/>
    <n v="2"/>
    <x v="2"/>
  </r>
  <r>
    <n v="634"/>
    <x v="16"/>
    <d v="2002-06-17T00:00:00"/>
    <x v="3"/>
    <x v="7"/>
    <n v="2"/>
    <n v="0"/>
    <x v="1"/>
    <b v="0"/>
    <n v="2"/>
    <x v="0"/>
  </r>
  <r>
    <n v="635"/>
    <x v="16"/>
    <d v="2002-06-18T00:00:00"/>
    <x v="3"/>
    <x v="56"/>
    <n v="0"/>
    <n v="1"/>
    <x v="28"/>
    <b v="1"/>
    <n v="1"/>
    <x v="2"/>
  </r>
  <r>
    <n v="636"/>
    <x v="16"/>
    <d v="2002-06-18T00:00:00"/>
    <x v="3"/>
    <x v="41"/>
    <n v="2"/>
    <n v="1"/>
    <x v="25"/>
    <b v="1"/>
    <n v="3"/>
    <x v="0"/>
  </r>
  <r>
    <n v="637"/>
    <x v="16"/>
    <d v="2002-06-21T00:00:00"/>
    <x v="4"/>
    <x v="18"/>
    <n v="1"/>
    <n v="2"/>
    <x v="2"/>
    <b v="0"/>
    <n v="3"/>
    <x v="2"/>
  </r>
  <r>
    <n v="638"/>
    <x v="16"/>
    <d v="2002-06-21T00:00:00"/>
    <x v="4"/>
    <x v="13"/>
    <n v="1"/>
    <n v="0"/>
    <x v="9"/>
    <b v="0"/>
    <n v="1"/>
    <x v="0"/>
  </r>
  <r>
    <n v="639"/>
    <x v="16"/>
    <d v="2002-06-22T00:00:00"/>
    <x v="4"/>
    <x v="41"/>
    <n v="0"/>
    <n v="0"/>
    <x v="16"/>
    <b v="1"/>
    <n v="0"/>
    <x v="1"/>
  </r>
  <r>
    <n v="640"/>
    <x v="16"/>
    <d v="2002-06-22T00:00:00"/>
    <x v="4"/>
    <x v="59"/>
    <n v="0"/>
    <n v="1"/>
    <x v="28"/>
    <b v="0"/>
    <n v="1"/>
    <x v="2"/>
  </r>
  <r>
    <n v="641"/>
    <x v="16"/>
    <d v="2002-06-25T00:00:00"/>
    <x v="1"/>
    <x v="41"/>
    <n v="0"/>
    <n v="1"/>
    <x v="19"/>
    <b v="1"/>
    <n v="1"/>
    <x v="2"/>
  </r>
  <r>
    <n v="642"/>
    <x v="16"/>
    <d v="2002-06-26T00:00:00"/>
    <x v="1"/>
    <x v="7"/>
    <n v="1"/>
    <n v="0"/>
    <x v="28"/>
    <b v="0"/>
    <n v="1"/>
    <x v="0"/>
  </r>
  <r>
    <n v="643"/>
    <x v="16"/>
    <d v="2002-06-29T00:00:00"/>
    <x v="5"/>
    <x v="41"/>
    <n v="2"/>
    <n v="3"/>
    <x v="28"/>
    <b v="1"/>
    <n v="5"/>
    <x v="2"/>
  </r>
  <r>
    <n v="644"/>
    <x v="16"/>
    <d v="2002-06-30T00:00:00"/>
    <x v="2"/>
    <x v="13"/>
    <n v="0"/>
    <n v="2"/>
    <x v="2"/>
    <b v="0"/>
    <n v="2"/>
    <x v="2"/>
  </r>
  <r>
    <n v="645"/>
    <x v="17"/>
    <d v="2006-06-09T00:00:00"/>
    <x v="0"/>
    <x v="13"/>
    <n v="4"/>
    <n v="2"/>
    <x v="57"/>
    <b v="1"/>
    <n v="6"/>
    <x v="0"/>
  </r>
  <r>
    <n v="646"/>
    <x v="17"/>
    <d v="2006-06-09T00:00:00"/>
    <x v="0"/>
    <x v="31"/>
    <n v="0"/>
    <n v="2"/>
    <x v="67"/>
    <b v="0"/>
    <n v="2"/>
    <x v="2"/>
  </r>
  <r>
    <n v="647"/>
    <x v="17"/>
    <d v="2006-06-10T00:00:00"/>
    <x v="0"/>
    <x v="18"/>
    <n v="1"/>
    <n v="0"/>
    <x v="6"/>
    <b v="0"/>
    <n v="1"/>
    <x v="0"/>
  </r>
  <r>
    <n v="648"/>
    <x v="17"/>
    <d v="2006-06-10T00:00:00"/>
    <x v="0"/>
    <x v="62"/>
    <n v="0"/>
    <n v="0"/>
    <x v="15"/>
    <b v="0"/>
    <n v="0"/>
    <x v="1"/>
  </r>
  <r>
    <n v="649"/>
    <x v="17"/>
    <d v="2006-06-10T00:00:00"/>
    <x v="0"/>
    <x v="4"/>
    <n v="2"/>
    <n v="1"/>
    <x v="69"/>
    <b v="0"/>
    <n v="3"/>
    <x v="0"/>
  </r>
  <r>
    <n v="650"/>
    <x v="17"/>
    <d v="2006-06-11T00:00:00"/>
    <x v="0"/>
    <x v="63"/>
    <n v="0"/>
    <n v="1"/>
    <x v="13"/>
    <b v="0"/>
    <n v="1"/>
    <x v="2"/>
  </r>
  <r>
    <n v="651"/>
    <x v="17"/>
    <d v="2006-06-11T00:00:00"/>
    <x v="0"/>
    <x v="22"/>
    <n v="3"/>
    <n v="1"/>
    <x v="45"/>
    <b v="0"/>
    <n v="4"/>
    <x v="0"/>
  </r>
  <r>
    <n v="652"/>
    <x v="17"/>
    <d v="2006-06-11T00:00:00"/>
    <x v="0"/>
    <x v="64"/>
    <n v="0"/>
    <n v="1"/>
    <x v="37"/>
    <b v="0"/>
    <n v="1"/>
    <x v="2"/>
  </r>
  <r>
    <n v="653"/>
    <x v="17"/>
    <d v="2006-06-12T00:00:00"/>
    <x v="0"/>
    <x v="35"/>
    <n v="3"/>
    <n v="1"/>
    <x v="62"/>
    <b v="0"/>
    <n v="4"/>
    <x v="0"/>
  </r>
  <r>
    <n v="654"/>
    <x v="17"/>
    <d v="2006-06-12T00:00:00"/>
    <x v="0"/>
    <x v="1"/>
    <n v="0"/>
    <n v="3"/>
    <x v="70"/>
    <b v="0"/>
    <n v="3"/>
    <x v="2"/>
  </r>
  <r>
    <n v="655"/>
    <x v="17"/>
    <d v="2006-06-12T00:00:00"/>
    <x v="0"/>
    <x v="15"/>
    <n v="2"/>
    <n v="0"/>
    <x v="71"/>
    <b v="0"/>
    <n v="2"/>
    <x v="0"/>
  </r>
  <r>
    <n v="656"/>
    <x v="17"/>
    <d v="2006-06-13T00:00:00"/>
    <x v="0"/>
    <x v="41"/>
    <n v="2"/>
    <n v="1"/>
    <x v="72"/>
    <b v="0"/>
    <n v="3"/>
    <x v="0"/>
  </r>
  <r>
    <n v="657"/>
    <x v="17"/>
    <d v="2006-06-13T00:00:00"/>
    <x v="0"/>
    <x v="0"/>
    <n v="0"/>
    <n v="0"/>
    <x v="14"/>
    <b v="0"/>
    <n v="0"/>
    <x v="1"/>
  </r>
  <r>
    <n v="658"/>
    <x v="17"/>
    <d v="2006-06-13T00:00:00"/>
    <x v="0"/>
    <x v="7"/>
    <n v="1"/>
    <n v="0"/>
    <x v="63"/>
    <b v="0"/>
    <n v="1"/>
    <x v="0"/>
  </r>
  <r>
    <n v="659"/>
    <x v="17"/>
    <d v="2006-06-14T00:00:00"/>
    <x v="0"/>
    <x v="14"/>
    <n v="4"/>
    <n v="0"/>
    <x v="73"/>
    <b v="0"/>
    <n v="4"/>
    <x v="0"/>
  </r>
  <r>
    <n v="660"/>
    <x v="17"/>
    <d v="2006-06-14T00:00:00"/>
    <x v="0"/>
    <x v="36"/>
    <n v="2"/>
    <n v="2"/>
    <x v="58"/>
    <b v="0"/>
    <n v="4"/>
    <x v="1"/>
  </r>
  <r>
    <n v="661"/>
    <x v="17"/>
    <d v="2006-06-14T00:00:00"/>
    <x v="0"/>
    <x v="13"/>
    <n v="1"/>
    <n v="0"/>
    <x v="23"/>
    <b v="1"/>
    <n v="1"/>
    <x v="0"/>
  </r>
  <r>
    <n v="662"/>
    <x v="17"/>
    <d v="2006-06-15T00:00:00"/>
    <x v="0"/>
    <x v="61"/>
    <n v="3"/>
    <n v="0"/>
    <x v="57"/>
    <b v="0"/>
    <n v="3"/>
    <x v="0"/>
  </r>
  <r>
    <n v="663"/>
    <x v="17"/>
    <d v="2006-06-15T00:00:00"/>
    <x v="0"/>
    <x v="18"/>
    <n v="2"/>
    <n v="0"/>
    <x v="74"/>
    <b v="0"/>
    <n v="2"/>
    <x v="0"/>
  </r>
  <r>
    <n v="664"/>
    <x v="17"/>
    <d v="2006-06-15T00:00:00"/>
    <x v="0"/>
    <x v="12"/>
    <n v="1"/>
    <n v="0"/>
    <x v="6"/>
    <b v="0"/>
    <n v="1"/>
    <x v="0"/>
  </r>
  <r>
    <n v="665"/>
    <x v="17"/>
    <d v="2006-06-16T00:00:00"/>
    <x v="0"/>
    <x v="4"/>
    <n v="6"/>
    <n v="0"/>
    <x v="75"/>
    <b v="0"/>
    <n v="6"/>
    <x v="0"/>
  </r>
  <r>
    <n v="666"/>
    <x v="17"/>
    <d v="2006-06-16T00:00:00"/>
    <x v="0"/>
    <x v="33"/>
    <n v="2"/>
    <n v="1"/>
    <x v="69"/>
    <b v="0"/>
    <n v="3"/>
    <x v="0"/>
  </r>
  <r>
    <n v="667"/>
    <x v="17"/>
    <d v="2006-06-16T00:00:00"/>
    <x v="0"/>
    <x v="22"/>
    <n v="0"/>
    <n v="0"/>
    <x v="76"/>
    <b v="0"/>
    <n v="0"/>
    <x v="1"/>
  </r>
  <r>
    <n v="668"/>
    <x v="17"/>
    <d v="2006-06-17T00:00:00"/>
    <x v="0"/>
    <x v="24"/>
    <n v="2"/>
    <n v="0"/>
    <x v="45"/>
    <b v="0"/>
    <n v="2"/>
    <x v="0"/>
  </r>
  <r>
    <n v="669"/>
    <x v="17"/>
    <d v="2006-06-17T00:00:00"/>
    <x v="0"/>
    <x v="65"/>
    <n v="0"/>
    <n v="2"/>
    <x v="71"/>
    <b v="0"/>
    <n v="2"/>
    <x v="2"/>
  </r>
  <r>
    <n v="670"/>
    <x v="17"/>
    <d v="2006-06-17T00:00:00"/>
    <x v="0"/>
    <x v="15"/>
    <n v="1"/>
    <n v="1"/>
    <x v="9"/>
    <b v="0"/>
    <n v="2"/>
    <x v="1"/>
  </r>
  <r>
    <n v="671"/>
    <x v="17"/>
    <d v="2006-06-18T00:00:00"/>
    <x v="0"/>
    <x v="56"/>
    <n v="0"/>
    <n v="0"/>
    <x v="63"/>
    <b v="0"/>
    <n v="0"/>
    <x v="1"/>
  </r>
  <r>
    <n v="672"/>
    <x v="17"/>
    <d v="2006-06-18T00:00:00"/>
    <x v="0"/>
    <x v="7"/>
    <n v="2"/>
    <n v="0"/>
    <x v="41"/>
    <b v="0"/>
    <n v="2"/>
    <x v="0"/>
  </r>
  <r>
    <n v="673"/>
    <x v="17"/>
    <d v="2006-06-18T00:00:00"/>
    <x v="0"/>
    <x v="0"/>
    <n v="1"/>
    <n v="1"/>
    <x v="29"/>
    <b v="0"/>
    <n v="2"/>
    <x v="1"/>
  </r>
  <r>
    <n v="674"/>
    <x v="17"/>
    <d v="2006-06-19T00:00:00"/>
    <x v="0"/>
    <x v="66"/>
    <n v="0"/>
    <n v="2"/>
    <x v="14"/>
    <b v="0"/>
    <n v="2"/>
    <x v="2"/>
  </r>
  <r>
    <n v="675"/>
    <x v="17"/>
    <d v="2006-06-19T00:00:00"/>
    <x v="0"/>
    <x v="51"/>
    <n v="0"/>
    <n v="4"/>
    <x v="73"/>
    <b v="0"/>
    <n v="4"/>
    <x v="2"/>
  </r>
  <r>
    <n v="676"/>
    <x v="17"/>
    <d v="2006-06-19T00:00:00"/>
    <x v="0"/>
    <x v="14"/>
    <n v="3"/>
    <n v="1"/>
    <x v="46"/>
    <b v="0"/>
    <n v="4"/>
    <x v="0"/>
  </r>
  <r>
    <n v="677"/>
    <x v="17"/>
    <d v="2006-06-20T00:00:00"/>
    <x v="0"/>
    <x v="13"/>
    <n v="3"/>
    <n v="0"/>
    <x v="67"/>
    <b v="1"/>
    <n v="3"/>
    <x v="0"/>
  </r>
  <r>
    <n v="678"/>
    <x v="17"/>
    <d v="2006-06-20T00:00:00"/>
    <x v="0"/>
    <x v="45"/>
    <n v="1"/>
    <n v="2"/>
    <x v="23"/>
    <b v="0"/>
    <n v="3"/>
    <x v="2"/>
  </r>
  <r>
    <n v="679"/>
    <x v="17"/>
    <d v="2006-06-20T00:00:00"/>
    <x v="0"/>
    <x v="12"/>
    <n v="2"/>
    <n v="2"/>
    <x v="26"/>
    <b v="0"/>
    <n v="4"/>
    <x v="1"/>
  </r>
  <r>
    <n v="680"/>
    <x v="17"/>
    <d v="2006-06-20T00:00:00"/>
    <x v="0"/>
    <x v="8"/>
    <n v="2"/>
    <n v="0"/>
    <x v="74"/>
    <b v="0"/>
    <n v="2"/>
    <x v="0"/>
  </r>
  <r>
    <n v="681"/>
    <x v="17"/>
    <d v="2006-06-21T00:00:00"/>
    <x v="0"/>
    <x v="67"/>
    <n v="1"/>
    <n v="1"/>
    <x v="76"/>
    <b v="0"/>
    <n v="2"/>
    <x v="1"/>
  </r>
  <r>
    <n v="682"/>
    <x v="17"/>
    <d v="2006-06-21T00:00:00"/>
    <x v="0"/>
    <x v="24"/>
    <n v="2"/>
    <n v="1"/>
    <x v="0"/>
    <b v="0"/>
    <n v="3"/>
    <x v="0"/>
  </r>
  <r>
    <n v="683"/>
    <x v="17"/>
    <d v="2006-06-21T00:00:00"/>
    <x v="0"/>
    <x v="33"/>
    <n v="0"/>
    <n v="0"/>
    <x v="11"/>
    <b v="0"/>
    <n v="0"/>
    <x v="1"/>
  </r>
  <r>
    <n v="684"/>
    <x v="17"/>
    <d v="2006-06-21T00:00:00"/>
    <x v="0"/>
    <x v="68"/>
    <n v="3"/>
    <n v="2"/>
    <x v="75"/>
    <b v="0"/>
    <n v="5"/>
    <x v="0"/>
  </r>
  <r>
    <n v="685"/>
    <x v="17"/>
    <d v="2006-06-22T00:00:00"/>
    <x v="0"/>
    <x v="65"/>
    <n v="0"/>
    <n v="2"/>
    <x v="25"/>
    <b v="0"/>
    <n v="2"/>
    <x v="2"/>
  </r>
  <r>
    <n v="686"/>
    <x v="17"/>
    <d v="2006-06-22T00:00:00"/>
    <x v="0"/>
    <x v="69"/>
    <n v="2"/>
    <n v="1"/>
    <x v="9"/>
    <b v="0"/>
    <n v="3"/>
    <x v="0"/>
  </r>
  <r>
    <n v="687"/>
    <x v="17"/>
    <d v="2006-06-22T00:00:00"/>
    <x v="0"/>
    <x v="56"/>
    <n v="1"/>
    <n v="4"/>
    <x v="2"/>
    <b v="0"/>
    <n v="5"/>
    <x v="2"/>
  </r>
  <r>
    <n v="688"/>
    <x v="17"/>
    <d v="2006-06-22T00:00:00"/>
    <x v="0"/>
    <x v="57"/>
    <n v="2"/>
    <n v="2"/>
    <x v="41"/>
    <b v="0"/>
    <n v="4"/>
    <x v="1"/>
  </r>
  <r>
    <n v="689"/>
    <x v="17"/>
    <d v="2006-06-23T00:00:00"/>
    <x v="0"/>
    <x v="70"/>
    <n v="1"/>
    <n v="0"/>
    <x v="46"/>
    <b v="0"/>
    <n v="1"/>
    <x v="0"/>
  </r>
  <r>
    <n v="690"/>
    <x v="17"/>
    <d v="2006-06-23T00:00:00"/>
    <x v="0"/>
    <x v="51"/>
    <n v="0"/>
    <n v="1"/>
    <x v="16"/>
    <b v="0"/>
    <n v="1"/>
    <x v="2"/>
  </r>
  <r>
    <n v="691"/>
    <x v="17"/>
    <d v="2006-06-23T00:00:00"/>
    <x v="0"/>
    <x v="66"/>
    <n v="0"/>
    <n v="2"/>
    <x v="4"/>
    <b v="0"/>
    <n v="2"/>
    <x v="2"/>
  </r>
  <r>
    <n v="692"/>
    <x v="17"/>
    <d v="2006-06-23T00:00:00"/>
    <x v="0"/>
    <x v="11"/>
    <n v="2"/>
    <n v="0"/>
    <x v="29"/>
    <b v="0"/>
    <n v="2"/>
    <x v="0"/>
  </r>
  <r>
    <n v="693"/>
    <x v="17"/>
    <d v="2006-06-24T00:00:00"/>
    <x v="3"/>
    <x v="13"/>
    <n v="2"/>
    <n v="0"/>
    <x v="15"/>
    <b v="1"/>
    <n v="2"/>
    <x v="0"/>
  </r>
  <r>
    <n v="694"/>
    <x v="17"/>
    <d v="2006-06-24T00:00:00"/>
    <x v="3"/>
    <x v="4"/>
    <n v="2"/>
    <n v="1"/>
    <x v="0"/>
    <b v="0"/>
    <n v="3"/>
    <x v="0"/>
  </r>
  <r>
    <n v="695"/>
    <x v="17"/>
    <d v="2006-06-25T00:00:00"/>
    <x v="3"/>
    <x v="18"/>
    <n v="1"/>
    <n v="0"/>
    <x v="67"/>
    <b v="0"/>
    <n v="1"/>
    <x v="0"/>
  </r>
  <r>
    <n v="696"/>
    <x v="17"/>
    <d v="2006-06-25T00:00:00"/>
    <x v="3"/>
    <x v="24"/>
    <n v="1"/>
    <n v="0"/>
    <x v="13"/>
    <b v="0"/>
    <n v="1"/>
    <x v="0"/>
  </r>
  <r>
    <n v="697"/>
    <x v="17"/>
    <d v="2006-06-26T00:00:00"/>
    <x v="3"/>
    <x v="15"/>
    <n v="1"/>
    <n v="0"/>
    <x v="41"/>
    <b v="0"/>
    <n v="1"/>
    <x v="0"/>
  </r>
  <r>
    <n v="698"/>
    <x v="17"/>
    <d v="2006-06-26T00:00:00"/>
    <x v="3"/>
    <x v="11"/>
    <n v="0"/>
    <n v="0"/>
    <x v="73"/>
    <b v="0"/>
    <n v="0"/>
    <x v="1"/>
  </r>
  <r>
    <n v="699"/>
    <x v="17"/>
    <d v="2006-06-27T00:00:00"/>
    <x v="3"/>
    <x v="7"/>
    <n v="3"/>
    <n v="0"/>
    <x v="71"/>
    <b v="0"/>
    <n v="3"/>
    <x v="0"/>
  </r>
  <r>
    <n v="700"/>
    <x v="17"/>
    <d v="2006-06-27T00:00:00"/>
    <x v="3"/>
    <x v="14"/>
    <n v="1"/>
    <n v="3"/>
    <x v="4"/>
    <b v="0"/>
    <n v="4"/>
    <x v="2"/>
  </r>
  <r>
    <n v="701"/>
    <x v="17"/>
    <d v="2006-06-30T00:00:00"/>
    <x v="4"/>
    <x v="13"/>
    <n v="1"/>
    <n v="1"/>
    <x v="11"/>
    <b v="1"/>
    <n v="2"/>
    <x v="1"/>
  </r>
  <r>
    <n v="702"/>
    <x v="17"/>
    <d v="2006-06-30T00:00:00"/>
    <x v="4"/>
    <x v="15"/>
    <n v="3"/>
    <n v="0"/>
    <x v="73"/>
    <b v="0"/>
    <n v="3"/>
    <x v="0"/>
  </r>
  <r>
    <n v="703"/>
    <x v="17"/>
    <d v="2006-07-01T00:00:00"/>
    <x v="4"/>
    <x v="18"/>
    <n v="0"/>
    <n v="0"/>
    <x v="37"/>
    <b v="0"/>
    <n v="0"/>
    <x v="1"/>
  </r>
  <r>
    <n v="704"/>
    <x v="17"/>
    <d v="2006-07-01T00:00:00"/>
    <x v="4"/>
    <x v="7"/>
    <n v="0"/>
    <n v="1"/>
    <x v="4"/>
    <b v="0"/>
    <n v="1"/>
    <x v="2"/>
  </r>
  <r>
    <n v="705"/>
    <x v="17"/>
    <d v="2006-07-04T00:00:00"/>
    <x v="1"/>
    <x v="13"/>
    <n v="0"/>
    <n v="2"/>
    <x v="25"/>
    <b v="1"/>
    <n v="2"/>
    <x v="2"/>
  </r>
  <r>
    <n v="706"/>
    <x v="17"/>
    <d v="2006-07-05T00:00:00"/>
    <x v="1"/>
    <x v="24"/>
    <n v="0"/>
    <n v="1"/>
    <x v="4"/>
    <b v="0"/>
    <n v="1"/>
    <x v="2"/>
  </r>
  <r>
    <n v="707"/>
    <x v="17"/>
    <d v="2006-07-08T00:00:00"/>
    <x v="5"/>
    <x v="13"/>
    <n v="3"/>
    <n v="1"/>
    <x v="37"/>
    <b v="1"/>
    <n v="4"/>
    <x v="0"/>
  </r>
  <r>
    <n v="708"/>
    <x v="17"/>
    <d v="2006-07-09T00:00:00"/>
    <x v="2"/>
    <x v="15"/>
    <n v="1"/>
    <n v="1"/>
    <x v="4"/>
    <b v="0"/>
    <n v="2"/>
    <x v="1"/>
  </r>
  <r>
    <n v="709"/>
    <x v="18"/>
    <d v="2010-06-11T00:00:00"/>
    <x v="0"/>
    <x v="55"/>
    <n v="1"/>
    <n v="1"/>
    <x v="0"/>
    <b v="1"/>
    <n v="2"/>
    <x v="1"/>
  </r>
  <r>
    <n v="710"/>
    <x v="18"/>
    <d v="2010-06-11T00:00:00"/>
    <x v="0"/>
    <x v="6"/>
    <n v="0"/>
    <n v="0"/>
    <x v="4"/>
    <b v="0"/>
    <n v="0"/>
    <x v="1"/>
  </r>
  <r>
    <n v="711"/>
    <x v="18"/>
    <d v="2010-06-12T00:00:00"/>
    <x v="0"/>
    <x v="41"/>
    <n v="2"/>
    <n v="0"/>
    <x v="59"/>
    <b v="0"/>
    <n v="2"/>
    <x v="0"/>
  </r>
  <r>
    <n v="712"/>
    <x v="18"/>
    <d v="2010-06-12T00:00:00"/>
    <x v="0"/>
    <x v="4"/>
    <n v="1"/>
    <n v="0"/>
    <x v="60"/>
    <b v="0"/>
    <n v="1"/>
    <x v="0"/>
  </r>
  <r>
    <n v="713"/>
    <x v="18"/>
    <d v="2010-06-12T00:00:00"/>
    <x v="0"/>
    <x v="18"/>
    <n v="1"/>
    <n v="1"/>
    <x v="9"/>
    <b v="0"/>
    <n v="2"/>
    <x v="1"/>
  </r>
  <r>
    <n v="714"/>
    <x v="18"/>
    <d v="2010-06-13T00:00:00"/>
    <x v="0"/>
    <x v="37"/>
    <n v="0"/>
    <n v="1"/>
    <x v="66"/>
    <b v="0"/>
    <n v="1"/>
    <x v="2"/>
  </r>
  <r>
    <n v="715"/>
    <x v="18"/>
    <d v="2010-06-13T00:00:00"/>
    <x v="0"/>
    <x v="63"/>
    <n v="0"/>
    <n v="1"/>
    <x v="71"/>
    <b v="0"/>
    <n v="1"/>
    <x v="2"/>
  </r>
  <r>
    <n v="716"/>
    <x v="18"/>
    <d v="2010-06-13T00:00:00"/>
    <x v="0"/>
    <x v="13"/>
    <n v="4"/>
    <n v="0"/>
    <x v="41"/>
    <b v="0"/>
    <n v="4"/>
    <x v="0"/>
  </r>
  <r>
    <n v="717"/>
    <x v="18"/>
    <d v="2010-06-14T00:00:00"/>
    <x v="0"/>
    <x v="33"/>
    <n v="2"/>
    <n v="0"/>
    <x v="53"/>
    <b v="0"/>
    <n v="2"/>
    <x v="0"/>
  </r>
  <r>
    <n v="718"/>
    <x v="18"/>
    <d v="2010-06-14T00:00:00"/>
    <x v="0"/>
    <x v="56"/>
    <n v="1"/>
    <n v="0"/>
    <x v="47"/>
    <b v="0"/>
    <n v="1"/>
    <x v="0"/>
  </r>
  <r>
    <n v="719"/>
    <x v="18"/>
    <d v="2010-06-14T00:00:00"/>
    <x v="0"/>
    <x v="15"/>
    <n v="1"/>
    <n v="1"/>
    <x v="6"/>
    <b v="0"/>
    <n v="2"/>
    <x v="1"/>
  </r>
  <r>
    <n v="720"/>
    <x v="18"/>
    <d v="2010-06-15T00:00:00"/>
    <x v="0"/>
    <x v="71"/>
    <n v="1"/>
    <n v="1"/>
    <x v="77"/>
    <b v="0"/>
    <n v="2"/>
    <x v="1"/>
  </r>
  <r>
    <n v="721"/>
    <x v="18"/>
    <d v="2010-06-15T00:00:00"/>
    <x v="0"/>
    <x v="68"/>
    <n v="0"/>
    <n v="0"/>
    <x v="37"/>
    <b v="0"/>
    <n v="0"/>
    <x v="1"/>
  </r>
  <r>
    <n v="722"/>
    <x v="18"/>
    <d v="2010-06-15T00:00:00"/>
    <x v="0"/>
    <x v="7"/>
    <n v="2"/>
    <n v="1"/>
    <x v="36"/>
    <b v="0"/>
    <n v="3"/>
    <x v="0"/>
  </r>
  <r>
    <n v="723"/>
    <x v="18"/>
    <d v="2010-06-16T00:00:00"/>
    <x v="0"/>
    <x v="38"/>
    <n v="0"/>
    <n v="1"/>
    <x v="8"/>
    <b v="0"/>
    <n v="1"/>
    <x v="2"/>
  </r>
  <r>
    <n v="724"/>
    <x v="18"/>
    <d v="2010-06-16T00:00:00"/>
    <x v="0"/>
    <x v="14"/>
    <n v="0"/>
    <n v="1"/>
    <x v="14"/>
    <b v="0"/>
    <n v="1"/>
    <x v="2"/>
  </r>
  <r>
    <n v="725"/>
    <x v="18"/>
    <d v="2010-06-16T00:00:00"/>
    <x v="0"/>
    <x v="55"/>
    <n v="0"/>
    <n v="3"/>
    <x v="30"/>
    <b v="1"/>
    <n v="3"/>
    <x v="2"/>
  </r>
  <r>
    <n v="726"/>
    <x v="18"/>
    <d v="2010-06-17T00:00:00"/>
    <x v="0"/>
    <x v="4"/>
    <n v="4"/>
    <n v="1"/>
    <x v="29"/>
    <b v="0"/>
    <n v="5"/>
    <x v="0"/>
  </r>
  <r>
    <n v="727"/>
    <x v="18"/>
    <d v="2010-06-17T00:00:00"/>
    <x v="0"/>
    <x v="53"/>
    <n v="2"/>
    <n v="1"/>
    <x v="60"/>
    <b v="0"/>
    <n v="3"/>
    <x v="0"/>
  </r>
  <r>
    <n v="728"/>
    <x v="18"/>
    <d v="2010-06-17T00:00:00"/>
    <x v="0"/>
    <x v="0"/>
    <n v="0"/>
    <n v="2"/>
    <x v="0"/>
    <b v="0"/>
    <n v="2"/>
    <x v="2"/>
  </r>
  <r>
    <n v="729"/>
    <x v="18"/>
    <d v="2010-06-18T00:00:00"/>
    <x v="0"/>
    <x v="13"/>
    <n v="0"/>
    <n v="1"/>
    <x v="75"/>
    <b v="0"/>
    <n v="1"/>
    <x v="2"/>
  </r>
  <r>
    <n v="730"/>
    <x v="18"/>
    <d v="2010-06-18T00:00:00"/>
    <x v="0"/>
    <x v="60"/>
    <n v="2"/>
    <n v="2"/>
    <x v="9"/>
    <b v="0"/>
    <n v="4"/>
    <x v="1"/>
  </r>
  <r>
    <n v="731"/>
    <x v="18"/>
    <d v="2010-06-18T00:00:00"/>
    <x v="0"/>
    <x v="18"/>
    <n v="0"/>
    <n v="0"/>
    <x v="49"/>
    <b v="0"/>
    <n v="0"/>
    <x v="1"/>
  </r>
  <r>
    <n v="732"/>
    <x v="18"/>
    <d v="2010-06-19T00:00:00"/>
    <x v="0"/>
    <x v="33"/>
    <n v="1"/>
    <n v="0"/>
    <x v="62"/>
    <b v="0"/>
    <n v="1"/>
    <x v="0"/>
  </r>
  <r>
    <n v="733"/>
    <x v="18"/>
    <d v="2010-06-19T00:00:00"/>
    <x v="0"/>
    <x v="69"/>
    <n v="1"/>
    <n v="1"/>
    <x v="41"/>
    <b v="0"/>
    <n v="2"/>
    <x v="1"/>
  </r>
  <r>
    <n v="734"/>
    <x v="18"/>
    <d v="2010-06-19T00:00:00"/>
    <x v="0"/>
    <x v="46"/>
    <n v="1"/>
    <n v="2"/>
    <x v="53"/>
    <b v="0"/>
    <n v="3"/>
    <x v="2"/>
  </r>
  <r>
    <n v="735"/>
    <x v="18"/>
    <d v="2010-06-20T00:00:00"/>
    <x v="0"/>
    <x v="72"/>
    <n v="0"/>
    <n v="2"/>
    <x v="6"/>
    <b v="0"/>
    <n v="2"/>
    <x v="2"/>
  </r>
  <r>
    <n v="736"/>
    <x v="18"/>
    <d v="2010-06-20T00:00:00"/>
    <x v="0"/>
    <x v="15"/>
    <n v="1"/>
    <n v="1"/>
    <x v="48"/>
    <b v="0"/>
    <n v="2"/>
    <x v="1"/>
  </r>
  <r>
    <n v="737"/>
    <x v="18"/>
    <d v="2010-06-20T00:00:00"/>
    <x v="0"/>
    <x v="7"/>
    <n v="3"/>
    <n v="1"/>
    <x v="69"/>
    <b v="0"/>
    <n v="4"/>
    <x v="0"/>
  </r>
  <r>
    <n v="738"/>
    <x v="18"/>
    <d v="2010-06-21T00:00:00"/>
    <x v="0"/>
    <x v="24"/>
    <n v="7"/>
    <n v="0"/>
    <x v="36"/>
    <b v="0"/>
    <n v="7"/>
    <x v="0"/>
  </r>
  <r>
    <n v="739"/>
    <x v="18"/>
    <d v="2010-06-21T00:00:00"/>
    <x v="0"/>
    <x v="5"/>
    <n v="1"/>
    <n v="0"/>
    <x v="14"/>
    <b v="0"/>
    <n v="1"/>
    <x v="0"/>
  </r>
  <r>
    <n v="740"/>
    <x v="18"/>
    <d v="2010-06-21T00:00:00"/>
    <x v="0"/>
    <x v="14"/>
    <n v="2"/>
    <n v="0"/>
    <x v="50"/>
    <b v="0"/>
    <n v="2"/>
    <x v="0"/>
  </r>
  <r>
    <n v="741"/>
    <x v="18"/>
    <d v="2010-06-22T00:00:00"/>
    <x v="0"/>
    <x v="22"/>
    <n v="0"/>
    <n v="1"/>
    <x v="30"/>
    <b v="0"/>
    <n v="1"/>
    <x v="2"/>
  </r>
  <r>
    <n v="742"/>
    <x v="18"/>
    <d v="2010-06-22T00:00:00"/>
    <x v="0"/>
    <x v="55"/>
    <n v="2"/>
    <n v="1"/>
    <x v="4"/>
    <b v="1"/>
    <n v="3"/>
    <x v="0"/>
  </r>
  <r>
    <n v="743"/>
    <x v="18"/>
    <d v="2010-06-22T00:00:00"/>
    <x v="0"/>
    <x v="50"/>
    <n v="2"/>
    <n v="2"/>
    <x v="29"/>
    <b v="0"/>
    <n v="4"/>
    <x v="1"/>
  </r>
  <r>
    <n v="744"/>
    <x v="18"/>
    <d v="2010-06-22T00:00:00"/>
    <x v="0"/>
    <x v="53"/>
    <n v="0"/>
    <n v="2"/>
    <x v="11"/>
    <b v="0"/>
    <n v="2"/>
    <x v="2"/>
  </r>
  <r>
    <n v="745"/>
    <x v="18"/>
    <d v="2010-06-23T00:00:00"/>
    <x v="0"/>
    <x v="60"/>
    <n v="0"/>
    <n v="1"/>
    <x v="26"/>
    <b v="0"/>
    <n v="1"/>
    <x v="2"/>
  </r>
  <r>
    <n v="746"/>
    <x v="18"/>
    <d v="2010-06-23T00:00:00"/>
    <x v="0"/>
    <x v="1"/>
    <n v="1"/>
    <n v="0"/>
    <x v="49"/>
    <b v="0"/>
    <n v="1"/>
    <x v="0"/>
  </r>
  <r>
    <n v="747"/>
    <x v="18"/>
    <d v="2010-06-23T00:00:00"/>
    <x v="0"/>
    <x v="69"/>
    <n v="0"/>
    <n v="1"/>
    <x v="19"/>
    <b v="0"/>
    <n v="1"/>
    <x v="2"/>
  </r>
  <r>
    <n v="748"/>
    <x v="18"/>
    <d v="2010-06-23T00:00:00"/>
    <x v="0"/>
    <x v="35"/>
    <n v="2"/>
    <n v="1"/>
    <x v="75"/>
    <b v="0"/>
    <n v="3"/>
    <x v="0"/>
  </r>
  <r>
    <n v="749"/>
    <x v="18"/>
    <d v="2010-06-24T00:00:00"/>
    <x v="0"/>
    <x v="72"/>
    <n v="3"/>
    <n v="2"/>
    <x v="25"/>
    <b v="0"/>
    <n v="5"/>
    <x v="0"/>
  </r>
  <r>
    <n v="750"/>
    <x v="18"/>
    <d v="2010-06-24T00:00:00"/>
    <x v="0"/>
    <x v="8"/>
    <n v="0"/>
    <n v="0"/>
    <x v="48"/>
    <b v="0"/>
    <n v="0"/>
    <x v="1"/>
  </r>
  <r>
    <n v="751"/>
    <x v="18"/>
    <d v="2010-06-24T00:00:00"/>
    <x v="0"/>
    <x v="43"/>
    <n v="1"/>
    <n v="3"/>
    <x v="62"/>
    <b v="0"/>
    <n v="4"/>
    <x v="2"/>
  </r>
  <r>
    <n v="752"/>
    <x v="18"/>
    <d v="2010-06-24T00:00:00"/>
    <x v="0"/>
    <x v="46"/>
    <n v="1"/>
    <n v="2"/>
    <x v="13"/>
    <b v="0"/>
    <n v="3"/>
    <x v="2"/>
  </r>
  <r>
    <n v="753"/>
    <x v="18"/>
    <d v="2010-06-25T00:00:00"/>
    <x v="0"/>
    <x v="24"/>
    <n v="0"/>
    <n v="0"/>
    <x v="2"/>
    <b v="0"/>
    <n v="0"/>
    <x v="1"/>
  </r>
  <r>
    <n v="754"/>
    <x v="18"/>
    <d v="2010-06-25T00:00:00"/>
    <x v="0"/>
    <x v="25"/>
    <n v="0"/>
    <n v="3"/>
    <x v="69"/>
    <b v="0"/>
    <n v="3"/>
    <x v="2"/>
  </r>
  <r>
    <n v="755"/>
    <x v="18"/>
    <d v="2010-06-25T00:00:00"/>
    <x v="0"/>
    <x v="5"/>
    <n v="1"/>
    <n v="2"/>
    <x v="16"/>
    <b v="0"/>
    <n v="3"/>
    <x v="2"/>
  </r>
  <r>
    <n v="756"/>
    <x v="18"/>
    <d v="2010-06-25T00:00:00"/>
    <x v="0"/>
    <x v="11"/>
    <n v="0"/>
    <n v="0"/>
    <x v="50"/>
    <b v="0"/>
    <n v="0"/>
    <x v="1"/>
  </r>
  <r>
    <n v="757"/>
    <x v="18"/>
    <d v="2010-06-26T00:00:00"/>
    <x v="3"/>
    <x v="6"/>
    <n v="2"/>
    <n v="1"/>
    <x v="29"/>
    <b v="0"/>
    <n v="3"/>
    <x v="0"/>
  </r>
  <r>
    <n v="758"/>
    <x v="18"/>
    <d v="2010-06-26T00:00:00"/>
    <x v="3"/>
    <x v="1"/>
    <n v="1"/>
    <n v="2"/>
    <x v="71"/>
    <b v="0"/>
    <n v="3"/>
    <x v="2"/>
  </r>
  <r>
    <n v="759"/>
    <x v="18"/>
    <d v="2010-06-27T00:00:00"/>
    <x v="3"/>
    <x v="13"/>
    <n v="4"/>
    <n v="1"/>
    <x v="26"/>
    <b v="0"/>
    <n v="5"/>
    <x v="0"/>
  </r>
  <r>
    <n v="760"/>
    <x v="18"/>
    <d v="2010-06-27T00:00:00"/>
    <x v="3"/>
    <x v="4"/>
    <n v="3"/>
    <n v="1"/>
    <x v="0"/>
    <b v="0"/>
    <n v="4"/>
    <x v="0"/>
  </r>
  <r>
    <n v="761"/>
    <x v="18"/>
    <d v="2010-06-28T00:00:00"/>
    <x v="3"/>
    <x v="33"/>
    <n v="2"/>
    <n v="1"/>
    <x v="77"/>
    <b v="0"/>
    <n v="3"/>
    <x v="0"/>
  </r>
  <r>
    <n v="762"/>
    <x v="18"/>
    <d v="2010-06-28T00:00:00"/>
    <x v="3"/>
    <x v="7"/>
    <n v="3"/>
    <n v="0"/>
    <x v="8"/>
    <b v="0"/>
    <n v="3"/>
    <x v="0"/>
  </r>
  <r>
    <n v="763"/>
    <x v="18"/>
    <d v="2010-06-29T00:00:00"/>
    <x v="3"/>
    <x v="8"/>
    <n v="0"/>
    <n v="0"/>
    <x v="62"/>
    <b v="0"/>
    <n v="0"/>
    <x v="1"/>
  </r>
  <r>
    <n v="764"/>
    <x v="18"/>
    <d v="2010-06-29T00:00:00"/>
    <x v="3"/>
    <x v="14"/>
    <n v="1"/>
    <n v="0"/>
    <x v="37"/>
    <b v="0"/>
    <n v="1"/>
    <x v="0"/>
  </r>
  <r>
    <n v="765"/>
    <x v="18"/>
    <d v="2010-07-02T00:00:00"/>
    <x v="4"/>
    <x v="33"/>
    <n v="2"/>
    <n v="1"/>
    <x v="2"/>
    <b v="0"/>
    <n v="3"/>
    <x v="0"/>
  </r>
  <r>
    <n v="766"/>
    <x v="18"/>
    <d v="2010-07-02T00:00:00"/>
    <x v="4"/>
    <x v="6"/>
    <n v="1"/>
    <n v="1"/>
    <x v="71"/>
    <b v="0"/>
    <n v="2"/>
    <x v="1"/>
  </r>
  <r>
    <n v="767"/>
    <x v="18"/>
    <d v="2010-07-03T00:00:00"/>
    <x v="4"/>
    <x v="4"/>
    <n v="0"/>
    <n v="4"/>
    <x v="19"/>
    <b v="0"/>
    <n v="4"/>
    <x v="2"/>
  </r>
  <r>
    <n v="768"/>
    <x v="18"/>
    <d v="2010-07-03T00:00:00"/>
    <x v="4"/>
    <x v="8"/>
    <n v="0"/>
    <n v="1"/>
    <x v="16"/>
    <b v="0"/>
    <n v="1"/>
    <x v="2"/>
  </r>
  <r>
    <n v="769"/>
    <x v="18"/>
    <d v="2010-07-06T00:00:00"/>
    <x v="1"/>
    <x v="6"/>
    <n v="2"/>
    <n v="3"/>
    <x v="13"/>
    <b v="0"/>
    <n v="5"/>
    <x v="2"/>
  </r>
  <r>
    <n v="770"/>
    <x v="18"/>
    <d v="2010-07-07T00:00:00"/>
    <x v="1"/>
    <x v="13"/>
    <n v="0"/>
    <n v="1"/>
    <x v="16"/>
    <b v="0"/>
    <n v="1"/>
    <x v="2"/>
  </r>
  <r>
    <n v="771"/>
    <x v="18"/>
    <d v="2010-07-10T00:00:00"/>
    <x v="5"/>
    <x v="6"/>
    <n v="2"/>
    <n v="3"/>
    <x v="19"/>
    <b v="0"/>
    <n v="5"/>
    <x v="2"/>
  </r>
  <r>
    <n v="772"/>
    <x v="18"/>
    <d v="2010-07-11T00:00:00"/>
    <x v="2"/>
    <x v="33"/>
    <n v="0"/>
    <n v="1"/>
    <x v="16"/>
    <b v="0"/>
    <n v="1"/>
    <x v="2"/>
  </r>
  <r>
    <n v="773"/>
    <x v="19"/>
    <d v="2014-06-12T00:00:00"/>
    <x v="0"/>
    <x v="7"/>
    <n v="3"/>
    <n v="1"/>
    <x v="63"/>
    <b v="1"/>
    <n v="4"/>
    <x v="0"/>
  </r>
  <r>
    <n v="774"/>
    <x v="19"/>
    <d v="2014-06-13T00:00:00"/>
    <x v="0"/>
    <x v="22"/>
    <n v="1"/>
    <n v="0"/>
    <x v="47"/>
    <b v="0"/>
    <n v="1"/>
    <x v="0"/>
  </r>
  <r>
    <n v="775"/>
    <x v="19"/>
    <d v="2014-06-13T00:00:00"/>
    <x v="0"/>
    <x v="14"/>
    <n v="1"/>
    <n v="5"/>
    <x v="13"/>
    <b v="0"/>
    <n v="6"/>
    <x v="2"/>
  </r>
  <r>
    <n v="776"/>
    <x v="19"/>
    <d v="2014-06-13T00:00:00"/>
    <x v="0"/>
    <x v="5"/>
    <n v="3"/>
    <n v="1"/>
    <x v="41"/>
    <b v="0"/>
    <n v="4"/>
    <x v="0"/>
  </r>
  <r>
    <n v="777"/>
    <x v="19"/>
    <d v="2014-06-14T00:00:00"/>
    <x v="0"/>
    <x v="48"/>
    <n v="3"/>
    <n v="0"/>
    <x v="59"/>
    <b v="0"/>
    <n v="3"/>
    <x v="0"/>
  </r>
  <r>
    <n v="778"/>
    <x v="19"/>
    <d v="2014-06-14T00:00:00"/>
    <x v="0"/>
    <x v="6"/>
    <n v="1"/>
    <n v="3"/>
    <x v="57"/>
    <b v="0"/>
    <n v="4"/>
    <x v="2"/>
  </r>
  <r>
    <n v="779"/>
    <x v="19"/>
    <d v="2014-06-14T00:00:00"/>
    <x v="0"/>
    <x v="18"/>
    <n v="1"/>
    <n v="2"/>
    <x v="25"/>
    <b v="0"/>
    <n v="3"/>
    <x v="2"/>
  </r>
  <r>
    <n v="780"/>
    <x v="19"/>
    <d v="2014-06-14T00:00:00"/>
    <x v="0"/>
    <x v="68"/>
    <n v="2"/>
    <n v="1"/>
    <x v="62"/>
    <b v="0"/>
    <n v="3"/>
    <x v="0"/>
  </r>
  <r>
    <n v="781"/>
    <x v="19"/>
    <d v="2014-06-15T00:00:00"/>
    <x v="0"/>
    <x v="11"/>
    <n v="2"/>
    <n v="1"/>
    <x v="67"/>
    <b v="0"/>
    <n v="3"/>
    <x v="0"/>
  </r>
  <r>
    <n v="782"/>
    <x v="19"/>
    <d v="2014-06-15T00:00:00"/>
    <x v="0"/>
    <x v="0"/>
    <n v="3"/>
    <n v="0"/>
    <x v="50"/>
    <b v="0"/>
    <n v="3"/>
    <x v="0"/>
  </r>
  <r>
    <n v="783"/>
    <x v="19"/>
    <d v="2014-06-15T00:00:00"/>
    <x v="0"/>
    <x v="4"/>
    <n v="2"/>
    <n v="1"/>
    <x v="78"/>
    <b v="0"/>
    <n v="3"/>
    <x v="0"/>
  </r>
  <r>
    <n v="784"/>
    <x v="19"/>
    <d v="2014-06-16T00:00:00"/>
    <x v="0"/>
    <x v="13"/>
    <n v="4"/>
    <n v="0"/>
    <x v="37"/>
    <b v="0"/>
    <n v="4"/>
    <x v="0"/>
  </r>
  <r>
    <n v="785"/>
    <x v="19"/>
    <d v="2014-06-16T00:00:00"/>
    <x v="0"/>
    <x v="67"/>
    <n v="0"/>
    <n v="0"/>
    <x v="60"/>
    <b v="0"/>
    <n v="0"/>
    <x v="1"/>
  </r>
  <r>
    <n v="786"/>
    <x v="19"/>
    <d v="2014-06-16T00:00:00"/>
    <x v="0"/>
    <x v="69"/>
    <n v="1"/>
    <n v="2"/>
    <x v="9"/>
    <b v="0"/>
    <n v="3"/>
    <x v="2"/>
  </r>
  <r>
    <n v="787"/>
    <x v="19"/>
    <d v="2014-06-17T00:00:00"/>
    <x v="0"/>
    <x v="27"/>
    <n v="2"/>
    <n v="1"/>
    <x v="49"/>
    <b v="0"/>
    <n v="3"/>
    <x v="0"/>
  </r>
  <r>
    <n v="788"/>
    <x v="19"/>
    <d v="2014-06-17T00:00:00"/>
    <x v="0"/>
    <x v="7"/>
    <n v="0"/>
    <n v="0"/>
    <x v="0"/>
    <b v="1"/>
    <n v="0"/>
    <x v="1"/>
  </r>
  <r>
    <n v="789"/>
    <x v="19"/>
    <d v="2014-06-17T00:00:00"/>
    <x v="0"/>
    <x v="20"/>
    <n v="1"/>
    <n v="1"/>
    <x v="29"/>
    <b v="0"/>
    <n v="2"/>
    <x v="1"/>
  </r>
  <r>
    <n v="790"/>
    <x v="19"/>
    <d v="2014-06-18T00:00:00"/>
    <x v="0"/>
    <x v="35"/>
    <n v="2"/>
    <n v="3"/>
    <x v="13"/>
    <b v="0"/>
    <n v="5"/>
    <x v="2"/>
  </r>
  <r>
    <n v="791"/>
    <x v="19"/>
    <d v="2014-06-18T00:00:00"/>
    <x v="0"/>
    <x v="14"/>
    <n v="0"/>
    <n v="2"/>
    <x v="8"/>
    <b v="0"/>
    <n v="2"/>
    <x v="2"/>
  </r>
  <r>
    <n v="792"/>
    <x v="19"/>
    <d v="2014-06-18T00:00:00"/>
    <x v="0"/>
    <x v="46"/>
    <n v="0"/>
    <n v="4"/>
    <x v="63"/>
    <b v="0"/>
    <n v="4"/>
    <x v="2"/>
  </r>
  <r>
    <n v="793"/>
    <x v="19"/>
    <d v="2014-06-19T00:00:00"/>
    <x v="0"/>
    <x v="48"/>
    <n v="2"/>
    <n v="1"/>
    <x v="69"/>
    <b v="0"/>
    <n v="3"/>
    <x v="0"/>
  </r>
  <r>
    <n v="794"/>
    <x v="19"/>
    <d v="2014-06-19T00:00:00"/>
    <x v="0"/>
    <x v="6"/>
    <n v="2"/>
    <n v="1"/>
    <x v="26"/>
    <b v="0"/>
    <n v="3"/>
    <x v="0"/>
  </r>
  <r>
    <n v="795"/>
    <x v="19"/>
    <d v="2014-06-19T00:00:00"/>
    <x v="0"/>
    <x v="56"/>
    <n v="0"/>
    <n v="0"/>
    <x v="59"/>
    <b v="0"/>
    <n v="0"/>
    <x v="1"/>
  </r>
  <r>
    <n v="796"/>
    <x v="19"/>
    <d v="2014-06-20T00:00:00"/>
    <x v="0"/>
    <x v="15"/>
    <n v="0"/>
    <n v="1"/>
    <x v="57"/>
    <b v="0"/>
    <n v="1"/>
    <x v="2"/>
  </r>
  <r>
    <n v="797"/>
    <x v="19"/>
    <d v="2014-06-20T00:00:00"/>
    <x v="0"/>
    <x v="11"/>
    <n v="2"/>
    <n v="5"/>
    <x v="4"/>
    <b v="0"/>
    <n v="7"/>
    <x v="2"/>
  </r>
  <r>
    <n v="798"/>
    <x v="19"/>
    <d v="2014-06-20T00:00:00"/>
    <x v="0"/>
    <x v="38"/>
    <n v="1"/>
    <n v="2"/>
    <x v="67"/>
    <b v="0"/>
    <n v="3"/>
    <x v="2"/>
  </r>
  <r>
    <n v="799"/>
    <x v="19"/>
    <d v="2014-06-21T00:00:00"/>
    <x v="0"/>
    <x v="4"/>
    <n v="1"/>
    <n v="0"/>
    <x v="45"/>
    <b v="0"/>
    <n v="1"/>
    <x v="0"/>
  </r>
  <r>
    <n v="800"/>
    <x v="19"/>
    <d v="2014-06-21T00:00:00"/>
    <x v="0"/>
    <x v="13"/>
    <n v="2"/>
    <n v="2"/>
    <x v="71"/>
    <b v="0"/>
    <n v="4"/>
    <x v="1"/>
  </r>
  <r>
    <n v="801"/>
    <x v="19"/>
    <d v="2014-06-21T00:00:00"/>
    <x v="0"/>
    <x v="50"/>
    <n v="1"/>
    <n v="0"/>
    <x v="78"/>
    <b v="0"/>
    <n v="1"/>
    <x v="0"/>
  </r>
  <r>
    <n v="802"/>
    <x v="19"/>
    <d v="2014-06-22T00:00:00"/>
    <x v="0"/>
    <x v="27"/>
    <n v="1"/>
    <n v="0"/>
    <x v="33"/>
    <b v="0"/>
    <n v="1"/>
    <x v="0"/>
  </r>
  <r>
    <n v="803"/>
    <x v="19"/>
    <d v="2014-06-22T00:00:00"/>
    <x v="0"/>
    <x v="41"/>
    <n v="2"/>
    <n v="4"/>
    <x v="49"/>
    <b v="0"/>
    <n v="6"/>
    <x v="2"/>
  </r>
  <r>
    <n v="804"/>
    <x v="19"/>
    <d v="2014-06-22T00:00:00"/>
    <x v="0"/>
    <x v="1"/>
    <n v="2"/>
    <n v="2"/>
    <x v="37"/>
    <b v="0"/>
    <n v="4"/>
    <x v="1"/>
  </r>
  <r>
    <n v="805"/>
    <x v="19"/>
    <d v="2014-06-23T00:00:00"/>
    <x v="0"/>
    <x v="35"/>
    <n v="0"/>
    <n v="3"/>
    <x v="16"/>
    <b v="0"/>
    <n v="3"/>
    <x v="2"/>
  </r>
  <r>
    <n v="806"/>
    <x v="19"/>
    <d v="2014-06-23T00:00:00"/>
    <x v="0"/>
    <x v="33"/>
    <n v="2"/>
    <n v="0"/>
    <x v="8"/>
    <b v="0"/>
    <n v="2"/>
    <x v="0"/>
  </r>
  <r>
    <n v="807"/>
    <x v="19"/>
    <d v="2014-06-23T00:00:00"/>
    <x v="0"/>
    <x v="7"/>
    <n v="4"/>
    <n v="1"/>
    <x v="47"/>
    <b v="1"/>
    <n v="5"/>
    <x v="0"/>
  </r>
  <r>
    <n v="808"/>
    <x v="19"/>
    <d v="2014-06-23T00:00:00"/>
    <x v="0"/>
    <x v="57"/>
    <n v="1"/>
    <n v="3"/>
    <x v="0"/>
    <b v="0"/>
    <n v="4"/>
    <x v="2"/>
  </r>
  <r>
    <n v="809"/>
    <x v="19"/>
    <d v="2014-06-24T00:00:00"/>
    <x v="0"/>
    <x v="15"/>
    <n v="0"/>
    <n v="1"/>
    <x v="30"/>
    <b v="0"/>
    <n v="1"/>
    <x v="2"/>
  </r>
  <r>
    <n v="810"/>
    <x v="19"/>
    <d v="2014-06-24T00:00:00"/>
    <x v="0"/>
    <x v="45"/>
    <n v="0"/>
    <n v="0"/>
    <x v="26"/>
    <b v="0"/>
    <n v="0"/>
    <x v="1"/>
  </r>
  <r>
    <n v="811"/>
    <x v="19"/>
    <d v="2014-06-24T00:00:00"/>
    <x v="0"/>
    <x v="56"/>
    <n v="1"/>
    <n v="4"/>
    <x v="34"/>
    <b v="0"/>
    <n v="5"/>
    <x v="2"/>
  </r>
  <r>
    <n v="812"/>
    <x v="19"/>
    <d v="2014-06-24T00:00:00"/>
    <x v="0"/>
    <x v="53"/>
    <n v="2"/>
    <n v="1"/>
    <x v="69"/>
    <b v="0"/>
    <n v="3"/>
    <x v="0"/>
  </r>
  <r>
    <n v="813"/>
    <x v="19"/>
    <d v="2014-06-25T00:00:00"/>
    <x v="0"/>
    <x v="50"/>
    <n v="2"/>
    <n v="3"/>
    <x v="11"/>
    <b v="0"/>
    <n v="5"/>
    <x v="2"/>
  </r>
  <r>
    <n v="814"/>
    <x v="19"/>
    <d v="2014-06-25T00:00:00"/>
    <x v="0"/>
    <x v="73"/>
    <n v="3"/>
    <n v="1"/>
    <x v="45"/>
    <b v="0"/>
    <n v="4"/>
    <x v="0"/>
  </r>
  <r>
    <n v="815"/>
    <x v="19"/>
    <d v="2014-06-25T00:00:00"/>
    <x v="0"/>
    <x v="38"/>
    <n v="0"/>
    <n v="3"/>
    <x v="14"/>
    <b v="0"/>
    <n v="3"/>
    <x v="2"/>
  </r>
  <r>
    <n v="816"/>
    <x v="19"/>
    <d v="2014-06-25T00:00:00"/>
    <x v="0"/>
    <x v="61"/>
    <n v="0"/>
    <n v="0"/>
    <x v="4"/>
    <b v="0"/>
    <n v="0"/>
    <x v="1"/>
  </r>
  <r>
    <n v="817"/>
    <x v="19"/>
    <d v="2014-06-26T00:00:00"/>
    <x v="0"/>
    <x v="1"/>
    <n v="0"/>
    <n v="1"/>
    <x v="19"/>
    <b v="0"/>
    <n v="1"/>
    <x v="2"/>
  </r>
  <r>
    <n v="818"/>
    <x v="19"/>
    <d v="2014-06-26T00:00:00"/>
    <x v="0"/>
    <x v="24"/>
    <n v="2"/>
    <n v="1"/>
    <x v="71"/>
    <b v="0"/>
    <n v="3"/>
    <x v="0"/>
  </r>
  <r>
    <n v="819"/>
    <x v="19"/>
    <d v="2014-06-26T00:00:00"/>
    <x v="0"/>
    <x v="41"/>
    <n v="0"/>
    <n v="1"/>
    <x v="1"/>
    <b v="0"/>
    <n v="1"/>
    <x v="2"/>
  </r>
  <r>
    <n v="820"/>
    <x v="19"/>
    <d v="2014-06-26T00:00:00"/>
    <x v="0"/>
    <x v="37"/>
    <n v="1"/>
    <n v="1"/>
    <x v="33"/>
    <b v="0"/>
    <n v="2"/>
    <x v="1"/>
  </r>
  <r>
    <n v="821"/>
    <x v="19"/>
    <d v="2014-06-28T00:00:00"/>
    <x v="3"/>
    <x v="7"/>
    <n v="1"/>
    <n v="1"/>
    <x v="8"/>
    <b v="1"/>
    <n v="2"/>
    <x v="1"/>
  </r>
  <r>
    <n v="822"/>
    <x v="19"/>
    <d v="2014-06-28T00:00:00"/>
    <x v="3"/>
    <x v="48"/>
    <n v="2"/>
    <n v="0"/>
    <x v="30"/>
    <b v="0"/>
    <n v="2"/>
    <x v="0"/>
  </r>
  <r>
    <n v="823"/>
    <x v="19"/>
    <d v="2014-06-29T00:00:00"/>
    <x v="3"/>
    <x v="33"/>
    <n v="2"/>
    <n v="1"/>
    <x v="0"/>
    <b v="0"/>
    <n v="3"/>
    <x v="0"/>
  </r>
  <r>
    <n v="824"/>
    <x v="19"/>
    <d v="2014-06-29T00:00:00"/>
    <x v="3"/>
    <x v="45"/>
    <n v="1"/>
    <n v="1"/>
    <x v="59"/>
    <b v="0"/>
    <n v="2"/>
    <x v="1"/>
  </r>
  <r>
    <n v="825"/>
    <x v="19"/>
    <d v="2014-06-30T00:00:00"/>
    <x v="3"/>
    <x v="0"/>
    <n v="2"/>
    <n v="0"/>
    <x v="60"/>
    <b v="0"/>
    <n v="2"/>
    <x v="0"/>
  </r>
  <r>
    <n v="826"/>
    <x v="19"/>
    <d v="2014-06-30T00:00:00"/>
    <x v="3"/>
    <x v="13"/>
    <n v="2"/>
    <n v="1"/>
    <x v="49"/>
    <b v="0"/>
    <n v="3"/>
    <x v="0"/>
  </r>
  <r>
    <n v="827"/>
    <x v="19"/>
    <d v="2014-07-01T00:00:00"/>
    <x v="3"/>
    <x v="4"/>
    <n v="1"/>
    <n v="0"/>
    <x v="14"/>
    <b v="0"/>
    <n v="1"/>
    <x v="0"/>
  </r>
  <r>
    <n v="828"/>
    <x v="19"/>
    <d v="2014-07-01T00:00:00"/>
    <x v="3"/>
    <x v="27"/>
    <n v="2"/>
    <n v="1"/>
    <x v="9"/>
    <b v="0"/>
    <n v="3"/>
    <x v="0"/>
  </r>
  <r>
    <n v="829"/>
    <x v="19"/>
    <d v="2014-07-04T00:00:00"/>
    <x v="4"/>
    <x v="0"/>
    <n v="0"/>
    <n v="1"/>
    <x v="19"/>
    <b v="0"/>
    <n v="1"/>
    <x v="2"/>
  </r>
  <r>
    <n v="830"/>
    <x v="19"/>
    <d v="2014-07-04T00:00:00"/>
    <x v="4"/>
    <x v="7"/>
    <n v="2"/>
    <n v="1"/>
    <x v="34"/>
    <b v="1"/>
    <n v="3"/>
    <x v="0"/>
  </r>
  <r>
    <n v="831"/>
    <x v="19"/>
    <d v="2014-07-05T00:00:00"/>
    <x v="4"/>
    <x v="4"/>
    <n v="1"/>
    <n v="0"/>
    <x v="1"/>
    <b v="0"/>
    <n v="1"/>
    <x v="0"/>
  </r>
  <r>
    <n v="832"/>
    <x v="19"/>
    <d v="2014-07-05T00:00:00"/>
    <x v="4"/>
    <x v="33"/>
    <n v="0"/>
    <n v="0"/>
    <x v="57"/>
    <b v="0"/>
    <n v="0"/>
    <x v="1"/>
  </r>
  <r>
    <n v="833"/>
    <x v="19"/>
    <d v="2014-07-08T00:00:00"/>
    <x v="1"/>
    <x v="7"/>
    <n v="1"/>
    <n v="7"/>
    <x v="19"/>
    <b v="1"/>
    <n v="8"/>
    <x v="2"/>
  </r>
  <r>
    <n v="834"/>
    <x v="19"/>
    <d v="2014-07-09T00:00:00"/>
    <x v="1"/>
    <x v="33"/>
    <n v="0"/>
    <n v="0"/>
    <x v="11"/>
    <b v="0"/>
    <n v="0"/>
    <x v="1"/>
  </r>
  <r>
    <n v="835"/>
    <x v="19"/>
    <d v="2014-07-12T00:00:00"/>
    <x v="5"/>
    <x v="7"/>
    <n v="0"/>
    <n v="3"/>
    <x v="13"/>
    <b v="1"/>
    <n v="3"/>
    <x v="2"/>
  </r>
  <r>
    <n v="836"/>
    <x v="19"/>
    <d v="2014-07-13T00:00:00"/>
    <x v="2"/>
    <x v="13"/>
    <n v="1"/>
    <n v="0"/>
    <x v="11"/>
    <b v="0"/>
    <n v="1"/>
    <x v="0"/>
  </r>
  <r>
    <n v="837"/>
    <x v="20"/>
    <d v="2018-06-14T00:00:00"/>
    <x v="0"/>
    <x v="20"/>
    <n v="5"/>
    <n v="0"/>
    <x v="58"/>
    <b v="1"/>
    <n v="5"/>
    <x v="0"/>
  </r>
  <r>
    <n v="838"/>
    <x v="20"/>
    <d v="2018-06-15T00:00:00"/>
    <x v="0"/>
    <x v="74"/>
    <n v="0"/>
    <n v="1"/>
    <x v="30"/>
    <b v="0"/>
    <n v="1"/>
    <x v="2"/>
  </r>
  <r>
    <n v="839"/>
    <x v="20"/>
    <d v="2018-06-15T00:00:00"/>
    <x v="0"/>
    <x v="40"/>
    <n v="0"/>
    <n v="1"/>
    <x v="45"/>
    <b v="0"/>
    <n v="1"/>
    <x v="2"/>
  </r>
  <r>
    <n v="840"/>
    <x v="20"/>
    <d v="2018-06-15T00:00:00"/>
    <x v="0"/>
    <x v="24"/>
    <n v="3"/>
    <n v="3"/>
    <x v="16"/>
    <b v="0"/>
    <n v="6"/>
    <x v="1"/>
  </r>
  <r>
    <n v="841"/>
    <x v="20"/>
    <d v="2018-06-16T00:00:00"/>
    <x v="0"/>
    <x v="0"/>
    <n v="2"/>
    <n v="1"/>
    <x v="41"/>
    <b v="0"/>
    <n v="3"/>
    <x v="0"/>
  </r>
  <r>
    <n v="842"/>
    <x v="20"/>
    <d v="2018-06-16T00:00:00"/>
    <x v="0"/>
    <x v="4"/>
    <n v="1"/>
    <n v="1"/>
    <x v="79"/>
    <b v="0"/>
    <n v="2"/>
    <x v="1"/>
  </r>
  <r>
    <n v="843"/>
    <x v="20"/>
    <d v="2018-06-16T00:00:00"/>
    <x v="0"/>
    <x v="26"/>
    <n v="0"/>
    <n v="1"/>
    <x v="53"/>
    <b v="0"/>
    <n v="1"/>
    <x v="2"/>
  </r>
  <r>
    <n v="844"/>
    <x v="20"/>
    <d v="2018-06-16T00:00:00"/>
    <x v="0"/>
    <x v="57"/>
    <n v="2"/>
    <n v="0"/>
    <x v="60"/>
    <b v="0"/>
    <n v="2"/>
    <x v="0"/>
  </r>
  <r>
    <n v="845"/>
    <x v="20"/>
    <d v="2018-06-17T00:00:00"/>
    <x v="0"/>
    <x v="45"/>
    <n v="0"/>
    <n v="1"/>
    <x v="75"/>
    <b v="0"/>
    <n v="1"/>
    <x v="2"/>
  </r>
  <r>
    <n v="846"/>
    <x v="20"/>
    <d v="2018-06-17T00:00:00"/>
    <x v="0"/>
    <x v="13"/>
    <n v="0"/>
    <n v="1"/>
    <x v="0"/>
    <b v="0"/>
    <n v="1"/>
    <x v="2"/>
  </r>
  <r>
    <n v="847"/>
    <x v="20"/>
    <d v="2018-06-17T00:00:00"/>
    <x v="0"/>
    <x v="7"/>
    <n v="1"/>
    <n v="1"/>
    <x v="14"/>
    <b v="0"/>
    <n v="2"/>
    <x v="1"/>
  </r>
  <r>
    <n v="848"/>
    <x v="20"/>
    <d v="2018-06-18T00:00:00"/>
    <x v="0"/>
    <x v="12"/>
    <n v="1"/>
    <n v="0"/>
    <x v="29"/>
    <b v="0"/>
    <n v="1"/>
    <x v="0"/>
  </r>
  <r>
    <n v="849"/>
    <x v="20"/>
    <d v="2018-06-18T00:00:00"/>
    <x v="0"/>
    <x v="27"/>
    <n v="3"/>
    <n v="0"/>
    <x v="80"/>
    <b v="0"/>
    <n v="3"/>
    <x v="0"/>
  </r>
  <r>
    <n v="850"/>
    <x v="20"/>
    <d v="2018-06-18T00:00:00"/>
    <x v="0"/>
    <x v="36"/>
    <n v="1"/>
    <n v="2"/>
    <x v="26"/>
    <b v="0"/>
    <n v="3"/>
    <x v="2"/>
  </r>
  <r>
    <n v="851"/>
    <x v="20"/>
    <d v="2018-06-19T00:00:00"/>
    <x v="0"/>
    <x v="48"/>
    <n v="1"/>
    <n v="2"/>
    <x v="62"/>
    <b v="0"/>
    <n v="3"/>
    <x v="2"/>
  </r>
  <r>
    <n v="852"/>
    <x v="20"/>
    <d v="2018-06-19T00:00:00"/>
    <x v="0"/>
    <x v="31"/>
    <n v="1"/>
    <n v="2"/>
    <x v="65"/>
    <b v="0"/>
    <n v="3"/>
    <x v="2"/>
  </r>
  <r>
    <n v="853"/>
    <x v="20"/>
    <d v="2018-06-19T00:00:00"/>
    <x v="0"/>
    <x v="20"/>
    <n v="3"/>
    <n v="1"/>
    <x v="12"/>
    <b v="1"/>
    <n v="4"/>
    <x v="0"/>
  </r>
  <r>
    <n v="854"/>
    <x v="20"/>
    <d v="2018-06-20T00:00:00"/>
    <x v="0"/>
    <x v="24"/>
    <n v="1"/>
    <n v="0"/>
    <x v="39"/>
    <b v="0"/>
    <n v="1"/>
    <x v="0"/>
  </r>
  <r>
    <n v="855"/>
    <x v="20"/>
    <d v="2018-06-20T00:00:00"/>
    <x v="0"/>
    <x v="6"/>
    <n v="1"/>
    <n v="0"/>
    <x v="58"/>
    <b v="0"/>
    <n v="1"/>
    <x v="0"/>
  </r>
  <r>
    <n v="856"/>
    <x v="20"/>
    <d v="2018-06-20T00:00:00"/>
    <x v="0"/>
    <x v="67"/>
    <n v="0"/>
    <n v="1"/>
    <x v="16"/>
    <b v="0"/>
    <n v="1"/>
    <x v="2"/>
  </r>
  <r>
    <n v="857"/>
    <x v="20"/>
    <d v="2018-06-21T00:00:00"/>
    <x v="0"/>
    <x v="43"/>
    <n v="1"/>
    <n v="1"/>
    <x v="41"/>
    <b v="0"/>
    <n v="2"/>
    <x v="1"/>
  </r>
  <r>
    <n v="858"/>
    <x v="20"/>
    <d v="2018-06-21T00:00:00"/>
    <x v="0"/>
    <x v="0"/>
    <n v="1"/>
    <n v="0"/>
    <x v="3"/>
    <b v="0"/>
    <n v="1"/>
    <x v="0"/>
  </r>
  <r>
    <n v="859"/>
    <x v="20"/>
    <d v="2018-06-21T00:00:00"/>
    <x v="0"/>
    <x v="4"/>
    <n v="0"/>
    <n v="3"/>
    <x v="63"/>
    <b v="0"/>
    <n v="3"/>
    <x v="2"/>
  </r>
  <r>
    <n v="860"/>
    <x v="20"/>
    <d v="2018-06-22T00:00:00"/>
    <x v="0"/>
    <x v="7"/>
    <n v="2"/>
    <n v="0"/>
    <x v="57"/>
    <b v="0"/>
    <n v="2"/>
    <x v="0"/>
  </r>
  <r>
    <n v="861"/>
    <x v="20"/>
    <d v="2018-06-22T00:00:00"/>
    <x v="0"/>
    <x v="50"/>
    <n v="2"/>
    <n v="0"/>
    <x v="79"/>
    <b v="0"/>
    <n v="2"/>
    <x v="0"/>
  </r>
  <r>
    <n v="862"/>
    <x v="20"/>
    <d v="2018-06-22T00:00:00"/>
    <x v="0"/>
    <x v="63"/>
    <n v="1"/>
    <n v="2"/>
    <x v="14"/>
    <b v="0"/>
    <n v="3"/>
    <x v="2"/>
  </r>
  <r>
    <n v="863"/>
    <x v="20"/>
    <d v="2018-06-23T00:00:00"/>
    <x v="0"/>
    <x v="27"/>
    <n v="5"/>
    <n v="2"/>
    <x v="46"/>
    <b v="0"/>
    <n v="7"/>
    <x v="0"/>
  </r>
  <r>
    <n v="864"/>
    <x v="20"/>
    <d v="2018-06-23T00:00:00"/>
    <x v="0"/>
    <x v="41"/>
    <n v="1"/>
    <n v="2"/>
    <x v="0"/>
    <b v="0"/>
    <n v="3"/>
    <x v="2"/>
  </r>
  <r>
    <n v="865"/>
    <x v="20"/>
    <d v="2018-06-23T00:00:00"/>
    <x v="0"/>
    <x v="13"/>
    <n v="2"/>
    <n v="1"/>
    <x v="15"/>
    <b v="0"/>
    <n v="3"/>
    <x v="0"/>
  </r>
  <r>
    <n v="866"/>
    <x v="20"/>
    <d v="2018-06-24T00:00:00"/>
    <x v="0"/>
    <x v="18"/>
    <n v="6"/>
    <n v="1"/>
    <x v="80"/>
    <b v="0"/>
    <n v="7"/>
    <x v="0"/>
  </r>
  <r>
    <n v="867"/>
    <x v="20"/>
    <d v="2018-06-24T00:00:00"/>
    <x v="0"/>
    <x v="56"/>
    <n v="2"/>
    <n v="2"/>
    <x v="65"/>
    <b v="0"/>
    <n v="4"/>
    <x v="1"/>
  </r>
  <r>
    <n v="868"/>
    <x v="20"/>
    <d v="2018-06-24T00:00:00"/>
    <x v="0"/>
    <x v="31"/>
    <n v="0"/>
    <n v="3"/>
    <x v="34"/>
    <b v="0"/>
    <n v="3"/>
    <x v="2"/>
  </r>
  <r>
    <n v="869"/>
    <x v="20"/>
    <d v="2018-06-25T00:00:00"/>
    <x v="0"/>
    <x v="20"/>
    <n v="0"/>
    <n v="3"/>
    <x v="30"/>
    <b v="1"/>
    <n v="3"/>
    <x v="2"/>
  </r>
  <r>
    <n v="870"/>
    <x v="20"/>
    <d v="2018-06-25T00:00:00"/>
    <x v="0"/>
    <x v="51"/>
    <n v="2"/>
    <n v="1"/>
    <x v="12"/>
    <b v="0"/>
    <n v="3"/>
    <x v="0"/>
  </r>
  <r>
    <n v="871"/>
    <x v="20"/>
    <d v="2018-06-25T00:00:00"/>
    <x v="0"/>
    <x v="14"/>
    <n v="2"/>
    <n v="2"/>
    <x v="39"/>
    <b v="0"/>
    <n v="4"/>
    <x v="1"/>
  </r>
  <r>
    <n v="872"/>
    <x v="20"/>
    <d v="2018-06-25T00:00:00"/>
    <x v="0"/>
    <x v="67"/>
    <n v="1"/>
    <n v="1"/>
    <x v="37"/>
    <b v="0"/>
    <n v="2"/>
    <x v="1"/>
  </r>
  <r>
    <n v="873"/>
    <x v="20"/>
    <d v="2018-06-26T00:00:00"/>
    <x v="0"/>
    <x v="35"/>
    <n v="0"/>
    <n v="2"/>
    <x v="3"/>
    <b v="0"/>
    <n v="2"/>
    <x v="2"/>
  </r>
  <r>
    <n v="874"/>
    <x v="20"/>
    <d v="2018-06-26T00:00:00"/>
    <x v="0"/>
    <x v="43"/>
    <n v="0"/>
    <n v="0"/>
    <x v="4"/>
    <b v="0"/>
    <n v="0"/>
    <x v="1"/>
  </r>
  <r>
    <n v="875"/>
    <x v="20"/>
    <d v="2018-06-26T00:00:00"/>
    <x v="0"/>
    <x v="50"/>
    <n v="1"/>
    <n v="2"/>
    <x v="11"/>
    <b v="0"/>
    <n v="3"/>
    <x v="2"/>
  </r>
  <r>
    <n v="876"/>
    <x v="20"/>
    <d v="2018-06-26T00:00:00"/>
    <x v="0"/>
    <x v="75"/>
    <n v="1"/>
    <n v="2"/>
    <x v="63"/>
    <b v="0"/>
    <n v="3"/>
    <x v="2"/>
  </r>
  <r>
    <n v="877"/>
    <x v="20"/>
    <d v="2018-06-27T00:00:00"/>
    <x v="0"/>
    <x v="41"/>
    <n v="2"/>
    <n v="0"/>
    <x v="19"/>
    <b v="0"/>
    <n v="2"/>
    <x v="0"/>
  </r>
  <r>
    <n v="878"/>
    <x v="20"/>
    <d v="2018-06-27T00:00:00"/>
    <x v="0"/>
    <x v="22"/>
    <n v="0"/>
    <n v="3"/>
    <x v="15"/>
    <b v="0"/>
    <n v="3"/>
    <x v="2"/>
  </r>
  <r>
    <n v="879"/>
    <x v="20"/>
    <d v="2018-06-27T00:00:00"/>
    <x v="0"/>
    <x v="63"/>
    <n v="0"/>
    <n v="2"/>
    <x v="2"/>
    <b v="0"/>
    <n v="2"/>
    <x v="2"/>
  </r>
  <r>
    <n v="880"/>
    <x v="20"/>
    <d v="2018-06-27T00:00:00"/>
    <x v="0"/>
    <x v="11"/>
    <n v="2"/>
    <n v="2"/>
    <x v="57"/>
    <b v="0"/>
    <n v="4"/>
    <x v="1"/>
  </r>
  <r>
    <n v="881"/>
    <x v="20"/>
    <d v="2018-06-28T00:00:00"/>
    <x v="0"/>
    <x v="56"/>
    <n v="0"/>
    <n v="1"/>
    <x v="23"/>
    <b v="0"/>
    <n v="1"/>
    <x v="2"/>
  </r>
  <r>
    <n v="882"/>
    <x v="20"/>
    <d v="2018-06-28T00:00:00"/>
    <x v="0"/>
    <x v="59"/>
    <n v="0"/>
    <n v="1"/>
    <x v="34"/>
    <b v="0"/>
    <n v="1"/>
    <x v="2"/>
  </r>
  <r>
    <n v="883"/>
    <x v="20"/>
    <d v="2018-06-28T00:00:00"/>
    <x v="0"/>
    <x v="76"/>
    <n v="1"/>
    <n v="2"/>
    <x v="46"/>
    <b v="0"/>
    <n v="3"/>
    <x v="2"/>
  </r>
  <r>
    <n v="884"/>
    <x v="20"/>
    <d v="2018-06-28T00:00:00"/>
    <x v="0"/>
    <x v="18"/>
    <n v="0"/>
    <n v="1"/>
    <x v="1"/>
    <b v="0"/>
    <n v="1"/>
    <x v="2"/>
  </r>
  <r>
    <n v="885"/>
    <x v="20"/>
    <d v="2018-06-30T00:00:00"/>
    <x v="3"/>
    <x v="0"/>
    <n v="4"/>
    <n v="3"/>
    <x v="11"/>
    <b v="0"/>
    <n v="7"/>
    <x v="0"/>
  </r>
  <r>
    <n v="886"/>
    <x v="20"/>
    <d v="2018-06-30T00:00:00"/>
    <x v="3"/>
    <x v="6"/>
    <n v="2"/>
    <n v="1"/>
    <x v="37"/>
    <b v="0"/>
    <n v="3"/>
    <x v="0"/>
  </r>
  <r>
    <n v="887"/>
    <x v="20"/>
    <d v="2018-07-01T00:00:00"/>
    <x v="3"/>
    <x v="20"/>
    <n v="1"/>
    <n v="1"/>
    <x v="16"/>
    <b v="1"/>
    <n v="2"/>
    <x v="1"/>
  </r>
  <r>
    <n v="888"/>
    <x v="20"/>
    <d v="2018-07-01T00:00:00"/>
    <x v="3"/>
    <x v="57"/>
    <n v="1"/>
    <n v="1"/>
    <x v="53"/>
    <b v="0"/>
    <n v="2"/>
    <x v="1"/>
  </r>
  <r>
    <n v="889"/>
    <x v="20"/>
    <d v="2018-07-02T00:00:00"/>
    <x v="3"/>
    <x v="7"/>
    <n v="2"/>
    <n v="0"/>
    <x v="0"/>
    <b v="0"/>
    <n v="2"/>
    <x v="0"/>
  </r>
  <r>
    <n v="890"/>
    <x v="20"/>
    <d v="2018-07-02T00:00:00"/>
    <x v="3"/>
    <x v="27"/>
    <n v="3"/>
    <n v="2"/>
    <x v="62"/>
    <b v="0"/>
    <n v="5"/>
    <x v="0"/>
  </r>
  <r>
    <n v="891"/>
    <x v="20"/>
    <d v="2018-07-03T00:00:00"/>
    <x v="3"/>
    <x v="12"/>
    <n v="1"/>
    <n v="0"/>
    <x v="14"/>
    <b v="0"/>
    <n v="1"/>
    <x v="0"/>
  </r>
  <r>
    <n v="892"/>
    <x v="20"/>
    <d v="2018-07-03T00:00:00"/>
    <x v="3"/>
    <x v="48"/>
    <n v="1"/>
    <n v="1"/>
    <x v="26"/>
    <b v="0"/>
    <n v="2"/>
    <x v="1"/>
  </r>
  <r>
    <n v="893"/>
    <x v="20"/>
    <d v="2018-07-06T00:00:00"/>
    <x v="4"/>
    <x v="6"/>
    <n v="0"/>
    <n v="2"/>
    <x v="4"/>
    <b v="0"/>
    <n v="2"/>
    <x v="2"/>
  </r>
  <r>
    <n v="894"/>
    <x v="20"/>
    <d v="2018-07-06T00:00:00"/>
    <x v="4"/>
    <x v="7"/>
    <n v="1"/>
    <n v="2"/>
    <x v="1"/>
    <b v="0"/>
    <n v="3"/>
    <x v="2"/>
  </r>
  <r>
    <n v="895"/>
    <x v="20"/>
    <d v="2018-07-07T00:00:00"/>
    <x v="4"/>
    <x v="12"/>
    <n v="0"/>
    <n v="2"/>
    <x v="26"/>
    <b v="0"/>
    <n v="2"/>
    <x v="2"/>
  </r>
  <r>
    <n v="896"/>
    <x v="20"/>
    <d v="2018-07-07T00:00:00"/>
    <x v="4"/>
    <x v="20"/>
    <n v="2"/>
    <n v="2"/>
    <x v="63"/>
    <b v="1"/>
    <n v="4"/>
    <x v="1"/>
  </r>
  <r>
    <n v="897"/>
    <x v="20"/>
    <d v="2018-07-10T00:00:00"/>
    <x v="1"/>
    <x v="0"/>
    <n v="1"/>
    <n v="0"/>
    <x v="1"/>
    <b v="0"/>
    <n v="1"/>
    <x v="0"/>
  </r>
  <r>
    <n v="898"/>
    <x v="20"/>
    <d v="2018-07-11T00:00:00"/>
    <x v="1"/>
    <x v="57"/>
    <n v="2"/>
    <n v="1"/>
    <x v="26"/>
    <b v="0"/>
    <n v="3"/>
    <x v="0"/>
  </r>
  <r>
    <n v="899"/>
    <x v="20"/>
    <d v="2018-07-14T00:00:00"/>
    <x v="5"/>
    <x v="27"/>
    <n v="2"/>
    <n v="0"/>
    <x v="26"/>
    <b v="0"/>
    <n v="2"/>
    <x v="0"/>
  </r>
  <r>
    <n v="900"/>
    <x v="20"/>
    <d v="2018-07-15T00:00:00"/>
    <x v="2"/>
    <x v="0"/>
    <n v="4"/>
    <n v="2"/>
    <x v="63"/>
    <b v="0"/>
    <n v="6"/>
    <x v="0"/>
  </r>
  <r>
    <m/>
    <x v="21"/>
    <m/>
    <x v="10"/>
    <x v="77"/>
    <m/>
    <m/>
    <x v="81"/>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8720E6-F07E-4014-9A37-267EF4790F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8">
    <pivotField showAll="0">
      <items count="24">
        <item x="0"/>
        <item x="1"/>
        <item x="2"/>
        <item x="3"/>
        <item x="4"/>
        <item x="5"/>
        <item x="6"/>
        <item x="7"/>
        <item x="8"/>
        <item x="9"/>
        <item x="10"/>
        <item x="11"/>
        <item x="12"/>
        <item x="13"/>
        <item x="14"/>
        <item x="15"/>
        <item x="16"/>
        <item x="17"/>
        <item x="18"/>
        <item x="19"/>
        <item x="20"/>
        <item x="21"/>
        <item h="1" x="2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Sum of Goals Scor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81763C-7BB2-4C0E-9D40-6F2149EE7E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50" firstHeaderRow="1" firstDataRow="1" firstDataCol="1"/>
  <pivotFields count="8">
    <pivotField axis="axisRow" dataField="1" showAll="0">
      <items count="24">
        <item x="0"/>
        <item x="1"/>
        <item x="2"/>
        <item x="3"/>
        <item x="4"/>
        <item x="5"/>
        <item x="6"/>
        <item x="7"/>
        <item x="8"/>
        <item x="9"/>
        <item x="10"/>
        <item x="11"/>
        <item x="12"/>
        <item x="13"/>
        <item x="14"/>
        <item x="15"/>
        <item x="16"/>
        <item x="17"/>
        <item x="18"/>
        <item x="19"/>
        <item x="20"/>
        <item x="21"/>
        <item h="1" x="22"/>
        <item t="default"/>
      </items>
    </pivotField>
    <pivotField showAll="0"/>
    <pivotField showAll="0"/>
    <pivotField showAll="0"/>
    <pivotField showAll="0"/>
    <pivotField showAll="0"/>
    <pivotField showAll="0"/>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Yea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01EE19-D931-431A-845B-9A511CED278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5:B25" firstHeaderRow="1" firstDataRow="1" firstDataCol="1"/>
  <pivotFields count="8">
    <pivotField showAll="0">
      <items count="24">
        <item x="0"/>
        <item x="1"/>
        <item x="2"/>
        <item x="3"/>
        <item x="4"/>
        <item x="5"/>
        <item x="6"/>
        <item x="7"/>
        <item x="8"/>
        <item x="9"/>
        <item x="10"/>
        <item x="11"/>
        <item x="12"/>
        <item x="13"/>
        <item x="14"/>
        <item x="15"/>
        <item x="16"/>
        <item x="17"/>
        <item x="18"/>
        <item x="19"/>
        <item x="20"/>
        <item x="21"/>
        <item h="1" x="22"/>
        <item t="default"/>
      </items>
    </pivotField>
    <pivotField showAll="0"/>
    <pivotField axis="axisRow" dataField="1" showAll="0">
      <items count="11">
        <item x="5"/>
        <item x="3"/>
        <item x="4"/>
        <item x="6"/>
        <item x="8"/>
        <item x="2"/>
        <item x="1"/>
        <item x="7"/>
        <item x="0"/>
        <item h="1" x="9"/>
        <item t="default"/>
      </items>
    </pivotField>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Count of Winner" fld="2" subtotal="count" baseField="0" baseItem="0" numFmtId="1"/>
  </dataFields>
  <formats count="1">
    <format dxfId="124">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B9AD5-89C6-486B-BC6A-49F9184C970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3:D26" firstHeaderRow="1" firstDataRow="1" firstDataCol="1"/>
  <pivotFields count="8">
    <pivotField axis="axisRow" showAll="0">
      <items count="24">
        <item x="0"/>
        <item x="1"/>
        <item x="2"/>
        <item x="3"/>
        <item x="4"/>
        <item x="5"/>
        <item x="6"/>
        <item x="7"/>
        <item x="8"/>
        <item x="9"/>
        <item x="10"/>
        <item x="11"/>
        <item x="12"/>
        <item x="13"/>
        <item x="14"/>
        <item x="15"/>
        <item x="16"/>
        <item x="17"/>
        <item x="18"/>
        <item x="19"/>
        <item x="20"/>
        <item x="21"/>
        <item h="1" x="22"/>
        <item t="default"/>
      </items>
    </pivotField>
    <pivotField showAll="0"/>
    <pivotField showAll="0">
      <items count="11">
        <item x="5"/>
        <item x="3"/>
        <item x="4"/>
        <item x="6"/>
        <item x="8"/>
        <item x="2"/>
        <item x="1"/>
        <item x="7"/>
        <item x="0"/>
        <item x="9"/>
        <item t="default"/>
      </items>
    </pivotField>
    <pivotField showAll="0"/>
    <pivotField showAll="0"/>
    <pivotField dataField="1" showAll="0"/>
    <pivotField showAll="0"/>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Goals Scored" fld="5" baseField="0" baseItem="0"/>
  </dataFields>
  <formats count="1">
    <format dxfId="12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70834C-61F4-4B41-93AC-10F1C92563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8">
    <pivotField showAll="0">
      <items count="24">
        <item x="0"/>
        <item x="1"/>
        <item x="2"/>
        <item x="3"/>
        <item x="4"/>
        <item x="5"/>
        <item x="6"/>
        <item x="7"/>
        <item x="8"/>
        <item x="9"/>
        <item x="10"/>
        <item x="11"/>
        <item x="12"/>
        <item x="13"/>
        <item x="14"/>
        <item x="15"/>
        <item x="16"/>
        <item x="17"/>
        <item x="18"/>
        <item x="19"/>
        <item x="20"/>
        <item x="21"/>
        <item h="1" x="2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Average Goals" fld="5" subtotal="average" baseField="0" baseItem="0" numFmtId="2"/>
  </dataFields>
  <formats count="1">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E6A281-6D62-47A1-B898-1DAD7FA2BF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8">
    <pivotField showAll="0">
      <items count="24">
        <item x="0"/>
        <item x="1"/>
        <item x="2"/>
        <item x="3"/>
        <item x="4"/>
        <item x="5"/>
        <item x="6"/>
        <item x="7"/>
        <item x="8"/>
        <item x="9"/>
        <item x="10"/>
        <item x="11"/>
        <item x="12"/>
        <item x="13"/>
        <item x="14"/>
        <item x="15"/>
        <item x="16"/>
        <item x="17"/>
        <item x="18"/>
        <item x="19"/>
        <item x="20"/>
        <item x="21"/>
        <item h="1" x="22"/>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Sum of Matches Play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790EDA-A97D-4064-866C-00D328210B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3" firstHeaderRow="1" firstDataRow="1" firstDataCol="1"/>
  <pivotFields count="8">
    <pivotField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19">
        <item x="10"/>
        <item x="3"/>
        <item x="6"/>
        <item x="7"/>
        <item x="2"/>
        <item x="9"/>
        <item x="1"/>
        <item x="13"/>
        <item x="8"/>
        <item x="16"/>
        <item x="15"/>
        <item x="14"/>
        <item x="11"/>
        <item x="5"/>
        <item x="4"/>
        <item x="0"/>
        <item x="12"/>
        <item x="17"/>
        <item t="default"/>
      </items>
    </pivotField>
    <pivotField axis="axisRow" dataField="1" showAll="0">
      <items count="11">
        <item x="5"/>
        <item x="3"/>
        <item x="4"/>
        <item x="6"/>
        <item x="8"/>
        <item x="2"/>
        <item x="1"/>
        <item x="7"/>
        <item x="0"/>
        <item h="1" x="9"/>
        <item t="default"/>
      </items>
    </pivotField>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Count of Winner" fld="2" subtotal="count" baseField="0" baseItem="0"/>
  </dataFields>
  <formats count="1">
    <format dxfId="127">
      <pivotArea outline="0" collapsedLevelsAreSubtotals="1" fieldPosition="0"/>
    </format>
  </formats>
  <chartFormats count="4">
    <chartFormat chart="18"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12DD00-552C-41A0-8E7F-6E424C4EB889}"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9:B20" firstHeaderRow="1" firstDataRow="1" firstDataCol="1"/>
  <pivotFields count="11">
    <pivotField showAll="0"/>
    <pivotField showAll="0"/>
    <pivotField showAll="0"/>
    <pivotField axis="axisRow" showAll="0">
      <items count="12">
        <item x="2"/>
        <item x="7"/>
        <item x="8"/>
        <item x="6"/>
        <item x="0"/>
        <item x="4"/>
        <item x="3"/>
        <item x="9"/>
        <item x="1"/>
        <item x="5"/>
        <item h="1" x="10"/>
        <item t="default"/>
      </items>
    </pivotField>
    <pivotField showAll="0"/>
    <pivotField showAll="0"/>
    <pivotField showAll="0"/>
    <pivotField showAll="0"/>
    <pivotField showAll="0"/>
    <pivotField dataField="1" showAll="0"/>
    <pivotField showAll="0">
      <items count="5">
        <item x="2"/>
        <item x="1"/>
        <item x="0"/>
        <item h="1" x="3"/>
        <item t="default"/>
      </items>
    </pivotField>
  </pivotFields>
  <rowFields count="1">
    <field x="3"/>
  </rowFields>
  <rowItems count="11">
    <i>
      <x/>
    </i>
    <i>
      <x v="1"/>
    </i>
    <i>
      <x v="2"/>
    </i>
    <i>
      <x v="3"/>
    </i>
    <i>
      <x v="4"/>
    </i>
    <i>
      <x v="5"/>
    </i>
    <i>
      <x v="6"/>
    </i>
    <i>
      <x v="7"/>
    </i>
    <i>
      <x v="8"/>
    </i>
    <i>
      <x v="9"/>
    </i>
    <i t="grand">
      <x/>
    </i>
  </rowItems>
  <colItems count="1">
    <i/>
  </colItems>
  <dataFields count="1">
    <dataField name="Sum of Total Goals" fld="9" baseField="0" baseItem="0"/>
  </dataFields>
  <formats count="1">
    <format dxfId="119">
      <pivotArea outline="0" collapsedLevelsAreSubtotals="1" fieldPosition="0"/>
    </format>
  </formats>
  <chartFormats count="2">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84D9D5-E2D7-4A49-AD98-A3AA8F90698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1">
    <pivotField showAll="0"/>
    <pivotField showAll="0"/>
    <pivotField showAll="0"/>
    <pivotField showAll="0">
      <items count="12">
        <item x="2"/>
        <item x="7"/>
        <item x="8"/>
        <item x="6"/>
        <item x="0"/>
        <item x="4"/>
        <item x="3"/>
        <item x="9"/>
        <item x="1"/>
        <item x="5"/>
        <item h="1" x="10"/>
        <item t="default"/>
      </items>
    </pivotField>
    <pivotField showAll="0"/>
    <pivotField showAll="0"/>
    <pivotField showAll="0"/>
    <pivotField showAll="0"/>
    <pivotField showAll="0"/>
    <pivotField showAll="0"/>
    <pivotField axis="axisRow" dataField="1" showAll="0">
      <items count="5">
        <item x="2"/>
        <item x="1"/>
        <item x="0"/>
        <item h="1" x="3"/>
        <item t="default"/>
      </items>
    </pivotField>
  </pivotFields>
  <rowFields count="1">
    <field x="10"/>
  </rowFields>
  <rowItems count="4">
    <i>
      <x/>
    </i>
    <i>
      <x v="1"/>
    </i>
    <i>
      <x v="2"/>
    </i>
    <i t="grand">
      <x/>
    </i>
  </rowItems>
  <colItems count="1">
    <i/>
  </colItems>
  <dataFields count="1">
    <dataField name="Count of Match Result" fld="10" subtotal="count" baseField="0" baseItem="0" numFmtId="1"/>
  </dataFields>
  <formats count="1">
    <format dxfId="120">
      <pivotArea outline="0" collapsedLevelsAreSubtotals="1" fieldPosition="0"/>
    </format>
  </formats>
  <chartFormats count="12">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0" count="1" selected="0">
            <x v="0"/>
          </reference>
        </references>
      </pivotArea>
    </chartFormat>
    <chartFormat chart="13" format="15">
      <pivotArea type="data" outline="0" fieldPosition="0">
        <references count="2">
          <reference field="4294967294" count="1" selected="0">
            <x v="0"/>
          </reference>
          <reference field="10" count="1" selected="0">
            <x v="1"/>
          </reference>
        </references>
      </pivotArea>
    </chartFormat>
    <chartFormat chart="13" format="16">
      <pivotArea type="data" outline="0" fieldPosition="0">
        <references count="2">
          <reference field="4294967294" count="1" selected="0">
            <x v="0"/>
          </reference>
          <reference field="10" count="1" selected="0">
            <x v="2"/>
          </reference>
        </references>
      </pivotArea>
    </chartFormat>
    <chartFormat chart="8" format="1">
      <pivotArea type="data" outline="0" fieldPosition="0">
        <references count="2">
          <reference field="4294967294" count="1" selected="0">
            <x v="0"/>
          </reference>
          <reference field="10" count="1" selected="0">
            <x v="0"/>
          </reference>
        </references>
      </pivotArea>
    </chartFormat>
    <chartFormat chart="8" format="2">
      <pivotArea type="data" outline="0" fieldPosition="0">
        <references count="2">
          <reference field="4294967294" count="1" selected="0">
            <x v="0"/>
          </reference>
          <reference field="10" count="1" selected="0">
            <x v="1"/>
          </reference>
        </references>
      </pivotArea>
    </chartFormat>
    <chartFormat chart="8" format="3">
      <pivotArea type="data" outline="0" fieldPosition="0">
        <references count="2">
          <reference field="4294967294" count="1" selected="0">
            <x v="0"/>
          </reference>
          <reference field="10" count="1" selected="0">
            <x v="2"/>
          </reference>
        </references>
      </pivotArea>
    </chartFormat>
    <chartFormat chart="11" format="9">
      <pivotArea type="data" outline="0" fieldPosition="0">
        <references count="2">
          <reference field="4294967294" count="1" selected="0">
            <x v="0"/>
          </reference>
          <reference field="10" count="1" selected="0">
            <x v="0"/>
          </reference>
        </references>
      </pivotArea>
    </chartFormat>
    <chartFormat chart="11" format="10">
      <pivotArea type="data" outline="0" fieldPosition="0">
        <references count="2">
          <reference field="4294967294" count="1" selected="0">
            <x v="0"/>
          </reference>
          <reference field="10" count="1" selected="0">
            <x v="1"/>
          </reference>
        </references>
      </pivotArea>
    </chartFormat>
    <chartFormat chart="11"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36F6A9-122B-46F1-A615-AAB5510270C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C4:D15" firstHeaderRow="1" firstDataRow="1" firstDataCol="1"/>
  <pivotFields count="11">
    <pivotField dataField="1" showAll="0"/>
    <pivotField showAll="0"/>
    <pivotField showAll="0"/>
    <pivotField axis="axisRow" showAll="0">
      <items count="12">
        <item x="2"/>
        <item x="7"/>
        <item x="8"/>
        <item x="6"/>
        <item x="0"/>
        <item x="4"/>
        <item x="3"/>
        <item x="9"/>
        <item x="1"/>
        <item x="5"/>
        <item h="1" x="10"/>
        <item t="default"/>
      </items>
    </pivotField>
    <pivotField showAll="0"/>
    <pivotField showAll="0"/>
    <pivotField showAll="0"/>
    <pivotField showAll="0"/>
    <pivotField showAll="0"/>
    <pivotField showAll="0"/>
    <pivotField showAll="0">
      <items count="5">
        <item x="2"/>
        <item x="1"/>
        <item x="0"/>
        <item h="1" x="3"/>
        <item t="default"/>
      </items>
    </pivotField>
  </pivotFields>
  <rowFields count="1">
    <field x="3"/>
  </rowFields>
  <rowItems count="11">
    <i>
      <x/>
    </i>
    <i>
      <x v="1"/>
    </i>
    <i>
      <x v="2"/>
    </i>
    <i>
      <x v="3"/>
    </i>
    <i>
      <x v="4"/>
    </i>
    <i>
      <x v="5"/>
    </i>
    <i>
      <x v="6"/>
    </i>
    <i>
      <x v="7"/>
    </i>
    <i>
      <x v="8"/>
    </i>
    <i>
      <x v="9"/>
    </i>
    <i t="grand">
      <x/>
    </i>
  </rowItems>
  <colItems count="1">
    <i/>
  </colItems>
  <dataFields count="1">
    <dataField name="Count of ID" fld="0" subtotal="count" baseField="3" baseItem="0"/>
  </dataFields>
  <formats count="1">
    <format dxfId="121">
      <pivotArea outline="0" collapsedLevelsAreSubtotals="1" fieldPosition="0"/>
    </format>
  </formats>
  <chartFormats count="2">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1F1518-6A8E-4561-B754-06FC807B7AF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1">
    <pivotField showAll="0"/>
    <pivotField showAll="0"/>
    <pivotField showAll="0"/>
    <pivotField showAll="0">
      <items count="12">
        <item x="2"/>
        <item x="7"/>
        <item x="8"/>
        <item x="6"/>
        <item x="0"/>
        <item x="4"/>
        <item x="3"/>
        <item x="9"/>
        <item x="1"/>
        <item x="5"/>
        <item h="1" x="10"/>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Average of Total Goals" fld="9" subtotal="average" baseField="0" baseItem="0" numFmtId="2"/>
  </dataFields>
  <formats count="1">
    <format dxfId="1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3BE985-25F5-4679-BBBF-1E8C976A308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1">
    <pivotField dataField="1" showAll="0"/>
    <pivotField showAll="0"/>
    <pivotField showAll="0"/>
    <pivotField showAll="0">
      <items count="12">
        <item x="2"/>
        <item x="7"/>
        <item x="8"/>
        <item x="6"/>
        <item x="0"/>
        <item x="4"/>
        <item x="3"/>
        <item x="9"/>
        <item x="1"/>
        <item x="5"/>
        <item h="1" x="10"/>
        <item t="default"/>
      </items>
    </pivotField>
    <pivotField showAll="0"/>
    <pivotField showAll="0"/>
    <pivotField showAll="0"/>
    <pivotField showAll="0"/>
    <pivotField showAll="0"/>
    <pivotField showAll="0"/>
    <pivotField showAll="0"/>
  </pivotFields>
  <rowItems count="1">
    <i/>
  </rowItems>
  <colItems count="1">
    <i/>
  </colItems>
  <dataFields count="1">
    <dataField name="Total Match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E7813AC-034C-499E-9549-2949A9F3C20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F21:F22" firstHeaderRow="1" firstDataRow="1" firstDataCol="0"/>
  <pivotFields count="11">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2">
        <item x="2"/>
        <item x="7"/>
        <item x="8"/>
        <item x="6"/>
        <item x="0"/>
        <item x="4"/>
        <item x="3"/>
        <item x="9"/>
        <item x="1"/>
        <item x="5"/>
        <item h="1" x="10"/>
        <item t="default"/>
      </items>
    </pivotField>
    <pivotField showAll="0">
      <items count="79">
        <item x="37"/>
        <item x="64"/>
        <item x="4"/>
        <item x="35"/>
        <item x="9"/>
        <item x="27"/>
        <item x="52"/>
        <item x="73"/>
        <item x="7"/>
        <item x="28"/>
        <item x="46"/>
        <item x="39"/>
        <item x="5"/>
        <item x="58"/>
        <item x="48"/>
        <item x="45"/>
        <item x="57"/>
        <item x="17"/>
        <item x="65"/>
        <item x="16"/>
        <item x="43"/>
        <item x="30"/>
        <item x="29"/>
        <item x="61"/>
        <item x="74"/>
        <item x="18"/>
        <item x="0"/>
        <item x="13"/>
        <item x="69"/>
        <item x="53"/>
        <item x="34"/>
        <item x="38"/>
        <item x="10"/>
        <item x="75"/>
        <item x="67"/>
        <item x="42"/>
        <item x="15"/>
        <item x="68"/>
        <item x="54"/>
        <item x="56"/>
        <item x="22"/>
        <item x="40"/>
        <item x="33"/>
        <item x="71"/>
        <item x="50"/>
        <item x="25"/>
        <item x="21"/>
        <item x="49"/>
        <item x="76"/>
        <item x="8"/>
        <item x="26"/>
        <item x="31"/>
        <item x="24"/>
        <item x="47"/>
        <item x="3"/>
        <item x="20"/>
        <item x="51"/>
        <item x="32"/>
        <item x="59"/>
        <item x="63"/>
        <item x="72"/>
        <item x="60"/>
        <item x="55"/>
        <item x="41"/>
        <item x="14"/>
        <item x="12"/>
        <item x="11"/>
        <item x="66"/>
        <item x="62"/>
        <item x="36"/>
        <item x="19"/>
        <item x="70"/>
        <item x="44"/>
        <item x="1"/>
        <item x="6"/>
        <item x="23"/>
        <item x="2"/>
        <item x="77"/>
        <item t="default"/>
      </items>
    </pivotField>
    <pivotField showAll="0"/>
    <pivotField showAll="0"/>
    <pivotField showAll="0">
      <items count="83">
        <item x="49"/>
        <item x="76"/>
        <item x="11"/>
        <item x="41"/>
        <item x="18"/>
        <item x="1"/>
        <item x="5"/>
        <item x="78"/>
        <item x="2"/>
        <item x="35"/>
        <item x="47"/>
        <item x="54"/>
        <item x="8"/>
        <item x="68"/>
        <item x="34"/>
        <item x="57"/>
        <item x="63"/>
        <item x="24"/>
        <item x="70"/>
        <item x="20"/>
        <item x="53"/>
        <item x="44"/>
        <item x="43"/>
        <item x="67"/>
        <item x="12"/>
        <item x="40"/>
        <item x="26"/>
        <item x="4"/>
        <item x="19"/>
        <item x="71"/>
        <item x="59"/>
        <item x="42"/>
        <item x="50"/>
        <item x="17"/>
        <item x="79"/>
        <item x="21"/>
        <item x="45"/>
        <item x="52"/>
        <item x="38"/>
        <item x="25"/>
        <item x="69"/>
        <item x="64"/>
        <item x="62"/>
        <item x="51"/>
        <item x="0"/>
        <item x="39"/>
        <item x="13"/>
        <item x="48"/>
        <item x="60"/>
        <item x="36"/>
        <item x="32"/>
        <item x="22"/>
        <item x="80"/>
        <item x="6"/>
        <item x="3"/>
        <item x="23"/>
        <item x="37"/>
        <item x="55"/>
        <item x="7"/>
        <item x="33"/>
        <item x="58"/>
        <item x="27"/>
        <item x="65"/>
        <item x="75"/>
        <item x="77"/>
        <item x="66"/>
        <item x="61"/>
        <item x="29"/>
        <item x="16"/>
        <item x="15"/>
        <item x="14"/>
        <item x="72"/>
        <item x="74"/>
        <item x="46"/>
        <item x="28"/>
        <item x="73"/>
        <item x="56"/>
        <item x="9"/>
        <item x="30"/>
        <item x="31"/>
        <item x="10"/>
        <item x="81"/>
        <item t="default"/>
      </items>
    </pivotField>
    <pivotField showAll="0"/>
    <pivotField dataField="1" showAll="0"/>
    <pivotField showAll="0">
      <items count="5">
        <item x="2"/>
        <item x="1"/>
        <item x="0"/>
        <item h="1" x="3"/>
        <item t="default"/>
      </items>
    </pivotField>
  </pivotFields>
  <rowItems count="1">
    <i/>
  </rowItems>
  <colItems count="1">
    <i/>
  </colItems>
  <dataFields count="1">
    <dataField name="Sum of Total Goals" fld="9" baseField="0" baseItem="0"/>
  </dataFields>
  <formats count="1">
    <format dxfId="123">
      <pivotArea outline="0" collapsedLevelsAreSubtotals="1" fieldPosition="0"/>
    </format>
  </formats>
  <chartFormats count="1">
    <chartFormat chart="3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64435C-BA1D-4AAA-B340-E03A8FF99F0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11">
    <pivotField showAll="0"/>
    <pivotField showAll="0"/>
    <pivotField showAll="0"/>
    <pivotField showAll="0">
      <items count="12">
        <item x="2"/>
        <item x="7"/>
        <item x="8"/>
        <item x="6"/>
        <item x="0"/>
        <item x="4"/>
        <item x="3"/>
        <item x="9"/>
        <item x="1"/>
        <item x="5"/>
        <item h="1" x="10"/>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Total Goal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DE60B69-5A6C-4810-A148-699DFD95294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8">
    <pivotField showAll="0">
      <items count="24">
        <item x="0"/>
        <item x="1"/>
        <item x="2"/>
        <item x="3"/>
        <item x="4"/>
        <item x="5"/>
        <item x="6"/>
        <item x="7"/>
        <item x="8"/>
        <item x="9"/>
        <item x="10"/>
        <item x="11"/>
        <item x="12"/>
        <item x="13"/>
        <item x="14"/>
        <item x="15"/>
        <item x="16"/>
        <item x="17"/>
        <item x="18"/>
        <item x="19"/>
        <item x="20"/>
        <item x="21"/>
        <item h="1" x="2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Total Goals" fld="5" baseField="0" baseItem="0"/>
  </dataFields>
  <formats count="18">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97ADC18-28AF-4C09-B80B-A0CBFE953784}"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N6" firstHeaderRow="1" firstDataRow="1" firstDataCol="0"/>
  <pivotFields count="11">
    <pivotField showAll="0"/>
    <pivotField showAll="0"/>
    <pivotField showAll="0"/>
    <pivotField showAll="0">
      <items count="12">
        <item x="2"/>
        <item x="7"/>
        <item x="8"/>
        <item x="6"/>
        <item x="0"/>
        <item x="4"/>
        <item x="3"/>
        <item x="9"/>
        <item x="1"/>
        <item x="5"/>
        <item h="1" x="10"/>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Average of Total Goals" fld="9" subtotal="average" baseField="0" baseItem="0" numFmtId="2"/>
  </dataFields>
  <formats count="19">
    <format dxfId="48">
      <pivotArea outline="0" collapsedLevelsAreSubtotals="1"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5F91360-6939-40A3-9457-59E26A2E1E52}"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L6" firstHeaderRow="1" firstDataRow="1" firstDataCol="0"/>
  <pivotFields count="11">
    <pivotField showAll="0"/>
    <pivotField showAll="0"/>
    <pivotField showAll="0"/>
    <pivotField showAll="0">
      <items count="12">
        <item x="2"/>
        <item x="7"/>
        <item x="8"/>
        <item x="6"/>
        <item x="0"/>
        <item x="4"/>
        <item x="3"/>
        <item x="9"/>
        <item x="1"/>
        <item x="5"/>
        <item h="1" x="10"/>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Total Goals" fld="9" baseField="0" baseItem="0"/>
  </dataFields>
  <formats count="21">
    <format dxfId="66">
      <pivotArea type="all" dataOnly="0" outline="0"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02449DB-67E6-4BE6-9120-2876A14B7205}"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J6" firstHeaderRow="1" firstDataRow="1" firstDataCol="0"/>
  <pivotFields count="11">
    <pivotField dataField="1" showAll="0"/>
    <pivotField showAll="0"/>
    <pivotField showAll="0"/>
    <pivotField showAll="0">
      <items count="12">
        <item x="2"/>
        <item x="7"/>
        <item x="8"/>
        <item x="6"/>
        <item x="0"/>
        <item x="4"/>
        <item x="3"/>
        <item x="9"/>
        <item x="1"/>
        <item x="5"/>
        <item h="1" x="10"/>
        <item t="default"/>
      </items>
    </pivotField>
    <pivotField showAll="0"/>
    <pivotField showAll="0"/>
    <pivotField showAll="0"/>
    <pivotField showAll="0"/>
    <pivotField showAll="0"/>
    <pivotField showAll="0"/>
    <pivotField showAll="0"/>
  </pivotFields>
  <rowItems count="1">
    <i/>
  </rowItems>
  <colItems count="1">
    <i/>
  </colItems>
  <dataFields count="1">
    <dataField name="Total Matches" fld="0" subtotal="count" baseField="0" baseItem="0"/>
  </dataFields>
  <formats count="18">
    <format dxfId="81">
      <pivotArea type="all" dataOnly="0" outline="0"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3E305EE-C4A2-4658-9143-BACE6BC5FF9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8">
    <pivotField showAll="0">
      <items count="24">
        <item x="0"/>
        <item x="1"/>
        <item x="2"/>
        <item x="3"/>
        <item x="4"/>
        <item x="5"/>
        <item x="6"/>
        <item x="7"/>
        <item x="8"/>
        <item x="9"/>
        <item x="10"/>
        <item x="11"/>
        <item x="12"/>
        <item x="13"/>
        <item x="14"/>
        <item x="15"/>
        <item x="16"/>
        <item x="17"/>
        <item x="18"/>
        <item x="19"/>
        <item x="20"/>
        <item x="21"/>
        <item h="1" x="2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Average Goals" fld="5" subtotal="average" baseField="0" baseItem="0" numFmtId="2"/>
  </dataFields>
  <formats count="25">
    <format dxfId="103">
      <pivotArea outline="0" collapsedLevelsAreSubtotals="1"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C45FA3B-C412-427E-9470-9F217EF196D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8">
    <pivotField showAll="0">
      <items count="24">
        <item x="0"/>
        <item x="1"/>
        <item x="2"/>
        <item x="3"/>
        <item x="4"/>
        <item x="5"/>
        <item x="6"/>
        <item x="7"/>
        <item x="8"/>
        <item x="9"/>
        <item x="10"/>
        <item x="11"/>
        <item x="12"/>
        <item x="13"/>
        <item x="14"/>
        <item x="15"/>
        <item x="16"/>
        <item x="17"/>
        <item x="18"/>
        <item x="19"/>
        <item x="20"/>
        <item x="21"/>
        <item h="1" x="22"/>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Total Matches" fld="7" baseField="0" baseItem="0"/>
  </dataFields>
  <formats count="18">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F190C3C-495E-44F7-BF5D-25C28882D607}" sourceName="Year">
  <pivotTables>
    <pivotTable tabId="3" name="PivotTable1"/>
  </pivotTables>
  <data>
    <tabular pivotCacheId="1854866941">
      <items count="23">
        <i x="0" s="1"/>
        <i x="1" s="1"/>
        <i x="2" s="1"/>
        <i x="3" s="1"/>
        <i x="4" s="1"/>
        <i x="5" s="1"/>
        <i x="6" s="1"/>
        <i x="7" s="1"/>
        <i x="8" s="1"/>
        <i x="9" s="1"/>
        <i x="10" s="1"/>
        <i x="11" s="1"/>
        <i x="12" s="1"/>
        <i x="13" s="1"/>
        <i x="14" s="1"/>
        <i x="15" s="1"/>
        <i x="16" s="1"/>
        <i x="17" s="1"/>
        <i x="18" s="1"/>
        <i x="19" s="1"/>
        <i x="20" s="1"/>
        <i x="21" s="1"/>
        <i x="2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t_Country" xr10:uid="{34314526-BD6C-47A7-B480-9F3AC51E1649}" sourceName="Host Country">
  <pivotTables>
    <pivotTable tabId="3" name="PivotTable1"/>
  </pivotTables>
  <data>
    <tabular pivotCacheId="1854866941">
      <items count="18">
        <i x="10" s="1"/>
        <i x="3" s="1"/>
        <i x="6" s="1"/>
        <i x="7" s="1"/>
        <i x="2" s="1"/>
        <i x="9" s="1"/>
        <i x="1" s="1"/>
        <i x="13" s="1"/>
        <i x="8" s="1"/>
        <i x="16" s="1"/>
        <i x="15" s="1"/>
        <i x="14" s="1"/>
        <i x="11" s="1"/>
        <i x="5" s="1"/>
        <i x="4" s="1"/>
        <i x="0" s="1"/>
        <i x="12" s="1"/>
        <i x="1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F4F9718-3626-4EB4-911F-5E3DABDC015C}" sourceName="Year">
  <pivotTables>
    <pivotTable tabId="4" name="PivotTable14"/>
  </pivotTables>
  <data>
    <tabular pivotCacheId="628513122">
      <items count="22">
        <i x="0" s="1"/>
        <i x="1" s="1"/>
        <i x="2" s="1"/>
        <i x="3" s="1"/>
        <i x="4" s="1"/>
        <i x="5" s="1"/>
        <i x="6" s="1"/>
        <i x="7" s="1"/>
        <i x="8" s="1"/>
        <i x="9" s="1"/>
        <i x="10" s="1"/>
        <i x="11" s="1"/>
        <i x="12" s="1"/>
        <i x="13" s="1"/>
        <i x="14" s="1"/>
        <i x="15" s="1"/>
        <i x="16" s="1"/>
        <i x="17" s="1"/>
        <i x="18" s="1"/>
        <i x="19" s="1"/>
        <i x="20" s="1"/>
        <i x="2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5B86EAF7-A43C-42E3-8ECA-2979E4BD1003}" sourceName="Stage">
  <pivotTables>
    <pivotTable tabId="4" name="PivotTable14"/>
    <pivotTable tabId="5" name="PivotTable18"/>
    <pivotTable tabId="5" name="PivotTable19"/>
    <pivotTable tabId="5" name="PivotTable20"/>
    <pivotTable tabId="4" name="PivotTable10"/>
    <pivotTable tabId="4" name="PivotTable11"/>
    <pivotTable tabId="4" name="PivotTable12"/>
    <pivotTable tabId="4" name="PivotTable13"/>
    <pivotTable tabId="4" name="PivotTable8"/>
    <pivotTable tabId="4" name="PivotTable9"/>
  </pivotTables>
  <data>
    <tabular pivotCacheId="628513122">
      <items count="11">
        <i x="2" s="1"/>
        <i x="7" s="1"/>
        <i x="8" s="1"/>
        <i x="6" s="1"/>
        <i x="0" s="1"/>
        <i x="4" s="1"/>
        <i x="3" s="1"/>
        <i x="9" s="1"/>
        <i x="1" s="1"/>
        <i x="5" s="1"/>
        <i x="1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er" xr10:uid="{D052905C-1D88-4D5D-9DBF-9D48A292D7C8}" sourceName="Winner">
  <pivotTables>
    <pivotTable tabId="3" name="PivotTable6"/>
  </pivotTables>
  <data>
    <tabular pivotCacheId="1854866941">
      <items count="10">
        <i x="5" s="1"/>
        <i x="3" s="1"/>
        <i x="4" s="1"/>
        <i x="6" s="1"/>
        <i x="8" s="1"/>
        <i x="2" s="1"/>
        <i x="1" s="1"/>
        <i x="7" s="1"/>
        <i x="0"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F06B899-942E-4AC3-9C00-3A47AE0CA284}" cache="Slicer_Year" caption="Year" rowHeight="241300"/>
  <slicer name="Host Country" xr10:uid="{02D8CF4C-83E7-4B38-A9D5-A28D1BBFFE96}" cache="Slicer_Host_Country" caption="Host Country" rowHeight="241300"/>
  <slicer name="Winner" xr10:uid="{A857BC7E-20FA-4ABA-984E-2CBFB5C90349}" cache="Slicer_Winner" caption="Winn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999E0BB-3027-4410-A361-F89E43197E53}" cache="Slicer_Year1" caption="Year" rowHeight="241300"/>
  <slicer name="Stage" xr10:uid="{DE5DAC01-A084-4AA0-ABF4-986878481E10}" cache="Slicer_Stage" caption="Stag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0E8E5D6-CA13-469F-B118-2EC5410CDD91}" cache="Slicer_Year" caption="Year" style="SlicerStyleDark1" rowHeight="241300"/>
  <slicer name="Host Country 1" xr10:uid="{BCFB4AD6-5670-445A-B15F-C51B83FA1CEA}" cache="Slicer_Host_Country" caption="Host Country" style="SlicerStyleDark1" rowHeight="241300"/>
  <slicer name="Stage 1" xr10:uid="{8B9C8327-FF02-4F43-A2F1-6CAFA6AE1657}" cache="Slicer_Stage" caption="Stage" style="SlicerStyleDark1" rowHeight="241300"/>
  <slicer name="Winner 1" xr10:uid="{3EBEC69D-C36C-437D-8189-BFF365C6B2C5}" cache="Slicer_Winner" caption="Winner" style="SlicerStyleDark1" rowHeight="24130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microsoft.com/office/2007/relationships/slicer" Target="../slicers/slicer2.xml"/><Relationship Id="rId4" Type="http://schemas.openxmlformats.org/officeDocument/2006/relationships/pivotTable" Target="../pivotTables/pivotTable11.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7.xml"/><Relationship Id="rId7" Type="http://schemas.openxmlformats.org/officeDocument/2006/relationships/printerSettings" Target="../printerSettings/printerSettings5.bin"/><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 Id="rId9"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704E4-C0A4-41FD-9B6F-6C2FAACEB479}">
  <dimension ref="A1:H23"/>
  <sheetViews>
    <sheetView workbookViewId="0">
      <selection activeCell="C1" sqref="C1:C1048576"/>
    </sheetView>
  </sheetViews>
  <sheetFormatPr defaultRowHeight="14.5" x14ac:dyDescent="0.35"/>
  <cols>
    <col min="1" max="1" width="4.81640625" bestFit="1" customWidth="1"/>
    <col min="2" max="2" width="11.7265625" bestFit="1" customWidth="1"/>
    <col min="3" max="3" width="10.90625" bestFit="1" customWidth="1"/>
    <col min="4" max="4" width="13.453125" bestFit="1" customWidth="1"/>
    <col min="5" max="5" width="11" bestFit="1" customWidth="1"/>
    <col min="6" max="6" width="11.54296875" bestFit="1" customWidth="1"/>
    <col min="7" max="7" width="14.36328125" bestFit="1" customWidth="1"/>
    <col min="8" max="8" width="13.90625" bestFit="1" customWidth="1"/>
  </cols>
  <sheetData>
    <row r="1" spans="1:8" x14ac:dyDescent="0.35">
      <c r="A1" t="s">
        <v>0</v>
      </c>
      <c r="B1" t="s">
        <v>1</v>
      </c>
      <c r="C1" t="s">
        <v>2</v>
      </c>
      <c r="D1" t="s">
        <v>3</v>
      </c>
      <c r="E1" t="s">
        <v>4</v>
      </c>
      <c r="F1" t="s">
        <v>5</v>
      </c>
      <c r="G1" t="s">
        <v>6</v>
      </c>
      <c r="H1" t="s">
        <v>7</v>
      </c>
    </row>
    <row r="2" spans="1:8" x14ac:dyDescent="0.35">
      <c r="A2">
        <v>1930</v>
      </c>
      <c r="B2" t="s">
        <v>8</v>
      </c>
      <c r="C2" t="s">
        <v>8</v>
      </c>
      <c r="D2" t="s">
        <v>9</v>
      </c>
      <c r="E2" t="s">
        <v>10</v>
      </c>
      <c r="F2">
        <v>70</v>
      </c>
      <c r="G2">
        <v>13</v>
      </c>
      <c r="H2">
        <v>18</v>
      </c>
    </row>
    <row r="3" spans="1:8" x14ac:dyDescent="0.35">
      <c r="A3">
        <v>1934</v>
      </c>
      <c r="B3" t="s">
        <v>11</v>
      </c>
      <c r="C3" t="s">
        <v>11</v>
      </c>
      <c r="D3" t="s">
        <v>12</v>
      </c>
      <c r="E3" t="s">
        <v>13</v>
      </c>
      <c r="F3">
        <v>70</v>
      </c>
      <c r="G3">
        <v>16</v>
      </c>
      <c r="H3">
        <v>17</v>
      </c>
    </row>
    <row r="4" spans="1:8" x14ac:dyDescent="0.35">
      <c r="A4">
        <v>1938</v>
      </c>
      <c r="B4" t="s">
        <v>14</v>
      </c>
      <c r="C4" t="s">
        <v>11</v>
      </c>
      <c r="D4" t="s">
        <v>15</v>
      </c>
      <c r="E4" t="s">
        <v>16</v>
      </c>
      <c r="F4">
        <v>84</v>
      </c>
      <c r="G4">
        <v>15</v>
      </c>
      <c r="H4">
        <v>18</v>
      </c>
    </row>
    <row r="5" spans="1:8" x14ac:dyDescent="0.35">
      <c r="A5">
        <v>1950</v>
      </c>
      <c r="B5" t="s">
        <v>16</v>
      </c>
      <c r="C5" t="s">
        <v>8</v>
      </c>
      <c r="D5" t="s">
        <v>16</v>
      </c>
      <c r="E5" t="s">
        <v>17</v>
      </c>
      <c r="F5">
        <v>88</v>
      </c>
      <c r="G5">
        <v>13</v>
      </c>
      <c r="H5">
        <v>22</v>
      </c>
    </row>
    <row r="6" spans="1:8" x14ac:dyDescent="0.35">
      <c r="A6">
        <v>1954</v>
      </c>
      <c r="B6" t="s">
        <v>18</v>
      </c>
      <c r="C6" t="s">
        <v>19</v>
      </c>
      <c r="D6" t="s">
        <v>15</v>
      </c>
      <c r="E6" t="s">
        <v>20</v>
      </c>
      <c r="F6">
        <v>140</v>
      </c>
      <c r="G6">
        <v>16</v>
      </c>
      <c r="H6">
        <v>26</v>
      </c>
    </row>
    <row r="7" spans="1:8" x14ac:dyDescent="0.35">
      <c r="A7">
        <v>1958</v>
      </c>
      <c r="B7" t="s">
        <v>17</v>
      </c>
      <c r="C7" t="s">
        <v>16</v>
      </c>
      <c r="D7" t="s">
        <v>17</v>
      </c>
      <c r="E7" t="s">
        <v>14</v>
      </c>
      <c r="F7">
        <v>126</v>
      </c>
      <c r="G7">
        <v>16</v>
      </c>
      <c r="H7">
        <v>35</v>
      </c>
    </row>
    <row r="8" spans="1:8" x14ac:dyDescent="0.35">
      <c r="A8">
        <v>1962</v>
      </c>
      <c r="B8" t="s">
        <v>21</v>
      </c>
      <c r="C8" t="s">
        <v>16</v>
      </c>
      <c r="D8" t="s">
        <v>12</v>
      </c>
      <c r="E8" t="s">
        <v>21</v>
      </c>
      <c r="F8">
        <v>89</v>
      </c>
      <c r="G8">
        <v>16</v>
      </c>
      <c r="H8">
        <v>32</v>
      </c>
    </row>
    <row r="9" spans="1:8" x14ac:dyDescent="0.35">
      <c r="A9">
        <v>1966</v>
      </c>
      <c r="B9" t="s">
        <v>22</v>
      </c>
      <c r="C9" t="s">
        <v>22</v>
      </c>
      <c r="D9" t="s">
        <v>19</v>
      </c>
      <c r="E9" t="s">
        <v>23</v>
      </c>
      <c r="F9">
        <v>89</v>
      </c>
      <c r="G9">
        <v>16</v>
      </c>
      <c r="H9">
        <v>32</v>
      </c>
    </row>
    <row r="10" spans="1:8" x14ac:dyDescent="0.35">
      <c r="A10">
        <v>1970</v>
      </c>
      <c r="B10" t="s">
        <v>24</v>
      </c>
      <c r="C10" t="s">
        <v>16</v>
      </c>
      <c r="D10" t="s">
        <v>11</v>
      </c>
      <c r="E10" t="s">
        <v>19</v>
      </c>
      <c r="F10">
        <v>95</v>
      </c>
      <c r="G10">
        <v>16</v>
      </c>
      <c r="H10">
        <v>32</v>
      </c>
    </row>
    <row r="11" spans="1:8" x14ac:dyDescent="0.35">
      <c r="A11">
        <v>1974</v>
      </c>
      <c r="B11" t="s">
        <v>13</v>
      </c>
      <c r="C11" t="s">
        <v>19</v>
      </c>
      <c r="D11" t="s">
        <v>25</v>
      </c>
      <c r="E11" t="s">
        <v>26</v>
      </c>
      <c r="F11">
        <v>97</v>
      </c>
      <c r="G11">
        <v>16</v>
      </c>
      <c r="H11">
        <v>38</v>
      </c>
    </row>
    <row r="12" spans="1:8" x14ac:dyDescent="0.35">
      <c r="A12">
        <v>1978</v>
      </c>
      <c r="B12" t="s">
        <v>9</v>
      </c>
      <c r="C12" t="s">
        <v>9</v>
      </c>
      <c r="D12" t="s">
        <v>25</v>
      </c>
      <c r="E12" t="s">
        <v>16</v>
      </c>
      <c r="F12">
        <v>102</v>
      </c>
      <c r="G12">
        <v>16</v>
      </c>
      <c r="H12">
        <v>38</v>
      </c>
    </row>
    <row r="13" spans="1:8" x14ac:dyDescent="0.35">
      <c r="A13">
        <v>1982</v>
      </c>
      <c r="B13" t="s">
        <v>27</v>
      </c>
      <c r="C13" t="s">
        <v>11</v>
      </c>
      <c r="D13" t="s">
        <v>19</v>
      </c>
      <c r="E13" t="s">
        <v>26</v>
      </c>
      <c r="F13">
        <v>146</v>
      </c>
      <c r="G13">
        <v>24</v>
      </c>
      <c r="H13">
        <v>52</v>
      </c>
    </row>
    <row r="14" spans="1:8" x14ac:dyDescent="0.35">
      <c r="A14">
        <v>1986</v>
      </c>
      <c r="B14" t="s">
        <v>24</v>
      </c>
      <c r="C14" t="s">
        <v>9</v>
      </c>
      <c r="D14" t="s">
        <v>19</v>
      </c>
      <c r="E14" t="s">
        <v>14</v>
      </c>
      <c r="F14">
        <v>132</v>
      </c>
      <c r="G14">
        <v>24</v>
      </c>
      <c r="H14">
        <v>52</v>
      </c>
    </row>
    <row r="15" spans="1:8" x14ac:dyDescent="0.35">
      <c r="A15">
        <v>1990</v>
      </c>
      <c r="B15" t="s">
        <v>11</v>
      </c>
      <c r="C15" t="s">
        <v>19</v>
      </c>
      <c r="D15" t="s">
        <v>9</v>
      </c>
      <c r="E15" t="s">
        <v>11</v>
      </c>
      <c r="F15">
        <v>115</v>
      </c>
      <c r="G15">
        <v>24</v>
      </c>
      <c r="H15">
        <v>52</v>
      </c>
    </row>
    <row r="16" spans="1:8" x14ac:dyDescent="0.35">
      <c r="A16">
        <v>1994</v>
      </c>
      <c r="B16" t="s">
        <v>10</v>
      </c>
      <c r="C16" t="s">
        <v>16</v>
      </c>
      <c r="D16" t="s">
        <v>11</v>
      </c>
      <c r="E16" t="s">
        <v>17</v>
      </c>
      <c r="F16">
        <v>141</v>
      </c>
      <c r="G16">
        <v>24</v>
      </c>
      <c r="H16">
        <v>52</v>
      </c>
    </row>
    <row r="17" spans="1:8" x14ac:dyDescent="0.35">
      <c r="A17">
        <v>1998</v>
      </c>
      <c r="B17" t="s">
        <v>14</v>
      </c>
      <c r="C17" t="s">
        <v>14</v>
      </c>
      <c r="D17" t="s">
        <v>16</v>
      </c>
      <c r="E17" t="s">
        <v>28</v>
      </c>
      <c r="F17">
        <v>171</v>
      </c>
      <c r="G17">
        <v>32</v>
      </c>
      <c r="H17">
        <v>64</v>
      </c>
    </row>
    <row r="18" spans="1:8" x14ac:dyDescent="0.35">
      <c r="A18">
        <v>2002</v>
      </c>
      <c r="B18" t="s">
        <v>29</v>
      </c>
      <c r="C18" t="s">
        <v>16</v>
      </c>
      <c r="D18" t="s">
        <v>13</v>
      </c>
      <c r="E18" t="s">
        <v>30</v>
      </c>
      <c r="F18">
        <v>161</v>
      </c>
      <c r="G18">
        <v>32</v>
      </c>
      <c r="H18">
        <v>64</v>
      </c>
    </row>
    <row r="19" spans="1:8" x14ac:dyDescent="0.35">
      <c r="A19">
        <v>2006</v>
      </c>
      <c r="B19" t="s">
        <v>13</v>
      </c>
      <c r="C19" t="s">
        <v>11</v>
      </c>
      <c r="D19" t="s">
        <v>14</v>
      </c>
      <c r="E19" t="s">
        <v>13</v>
      </c>
      <c r="F19">
        <v>147</v>
      </c>
      <c r="G19">
        <v>32</v>
      </c>
      <c r="H19">
        <v>64</v>
      </c>
    </row>
    <row r="20" spans="1:8" x14ac:dyDescent="0.35">
      <c r="A20">
        <v>2010</v>
      </c>
      <c r="B20" t="s">
        <v>31</v>
      </c>
      <c r="C20" t="s">
        <v>27</v>
      </c>
      <c r="D20" t="s">
        <v>25</v>
      </c>
      <c r="E20" t="s">
        <v>13</v>
      </c>
      <c r="F20">
        <v>145</v>
      </c>
      <c r="G20">
        <v>32</v>
      </c>
      <c r="H20">
        <v>64</v>
      </c>
    </row>
    <row r="21" spans="1:8" x14ac:dyDescent="0.35">
      <c r="A21">
        <v>2014</v>
      </c>
      <c r="B21" t="s">
        <v>16</v>
      </c>
      <c r="C21" t="s">
        <v>13</v>
      </c>
      <c r="D21" t="s">
        <v>9</v>
      </c>
      <c r="E21" t="s">
        <v>25</v>
      </c>
      <c r="F21">
        <v>171</v>
      </c>
      <c r="G21">
        <v>32</v>
      </c>
      <c r="H21">
        <v>64</v>
      </c>
    </row>
    <row r="22" spans="1:8" x14ac:dyDescent="0.35">
      <c r="A22">
        <v>2018</v>
      </c>
      <c r="B22" t="s">
        <v>32</v>
      </c>
      <c r="C22" t="s">
        <v>14</v>
      </c>
      <c r="D22" t="s">
        <v>28</v>
      </c>
      <c r="E22" t="s">
        <v>33</v>
      </c>
      <c r="F22">
        <v>169</v>
      </c>
      <c r="G22">
        <v>32</v>
      </c>
      <c r="H22">
        <v>64</v>
      </c>
    </row>
    <row r="23" spans="1:8" x14ac:dyDescent="0.35">
      <c r="A23">
        <v>2022</v>
      </c>
      <c r="B23" t="s">
        <v>34</v>
      </c>
      <c r="C23" t="s">
        <v>9</v>
      </c>
      <c r="D23" t="s">
        <v>14</v>
      </c>
      <c r="E23" t="s">
        <v>28</v>
      </c>
      <c r="F23">
        <v>172</v>
      </c>
      <c r="G23">
        <v>32</v>
      </c>
      <c r="H23">
        <v>64</v>
      </c>
    </row>
  </sheetData>
  <autoFilter ref="C1:C23" xr:uid="{BED704E4-C0A4-41FD-9B6F-6C2FAACEB479}"/>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4329-457E-4BE2-B18E-5ED490B59882}">
  <dimension ref="A1:D50"/>
  <sheetViews>
    <sheetView workbookViewId="0">
      <selection activeCell="D8" sqref="D8"/>
    </sheetView>
  </sheetViews>
  <sheetFormatPr defaultRowHeight="14.5" x14ac:dyDescent="0.35"/>
  <cols>
    <col min="1" max="1" width="12.36328125" bestFit="1" customWidth="1"/>
    <col min="2" max="2" width="14.81640625" bestFit="1" customWidth="1"/>
    <col min="3" max="3" width="12.36328125" bestFit="1" customWidth="1"/>
    <col min="4" max="4" width="18" bestFit="1" customWidth="1"/>
  </cols>
  <sheetData>
    <row r="1" spans="1:4" x14ac:dyDescent="0.35">
      <c r="A1" s="4" t="s">
        <v>118</v>
      </c>
      <c r="B1" s="2" t="s">
        <v>116</v>
      </c>
      <c r="C1" s="2" t="s">
        <v>117</v>
      </c>
      <c r="D1" s="2" t="s">
        <v>119</v>
      </c>
    </row>
    <row r="2" spans="1:4" x14ac:dyDescent="0.35">
      <c r="A2">
        <v>22</v>
      </c>
      <c r="B2">
        <v>2720</v>
      </c>
      <c r="C2">
        <v>964</v>
      </c>
      <c r="D2" s="5">
        <v>123.63636363636364</v>
      </c>
    </row>
    <row r="3" spans="1:4" x14ac:dyDescent="0.35">
      <c r="A3" s="2" t="s">
        <v>113</v>
      </c>
      <c r="B3" t="s">
        <v>120</v>
      </c>
      <c r="C3" s="2" t="s">
        <v>113</v>
      </c>
      <c r="D3" t="s">
        <v>116</v>
      </c>
    </row>
    <row r="4" spans="1:4" x14ac:dyDescent="0.35">
      <c r="A4" s="3" t="s">
        <v>9</v>
      </c>
      <c r="B4" s="6">
        <v>3</v>
      </c>
      <c r="C4" s="3">
        <v>1930</v>
      </c>
      <c r="D4" s="5">
        <v>70</v>
      </c>
    </row>
    <row r="5" spans="1:4" x14ac:dyDescent="0.35">
      <c r="A5" s="3" t="s">
        <v>16</v>
      </c>
      <c r="B5" s="6">
        <v>5</v>
      </c>
      <c r="C5" s="3">
        <v>1934</v>
      </c>
      <c r="D5" s="5">
        <v>70</v>
      </c>
    </row>
    <row r="6" spans="1:4" x14ac:dyDescent="0.35">
      <c r="A6" s="3" t="s">
        <v>22</v>
      </c>
      <c r="B6" s="6">
        <v>1</v>
      </c>
      <c r="C6" s="3">
        <v>1938</v>
      </c>
      <c r="D6" s="5">
        <v>84</v>
      </c>
    </row>
    <row r="7" spans="1:4" x14ac:dyDescent="0.35">
      <c r="A7" s="3" t="s">
        <v>14</v>
      </c>
      <c r="B7" s="6">
        <v>2</v>
      </c>
      <c r="C7" s="3">
        <v>1950</v>
      </c>
      <c r="D7" s="5">
        <v>88</v>
      </c>
    </row>
    <row r="8" spans="1:4" x14ac:dyDescent="0.35">
      <c r="A8" s="3" t="s">
        <v>13</v>
      </c>
      <c r="B8" s="6">
        <v>1</v>
      </c>
      <c r="C8" s="3">
        <v>1954</v>
      </c>
      <c r="D8" s="5">
        <v>140</v>
      </c>
    </row>
    <row r="9" spans="1:4" x14ac:dyDescent="0.35">
      <c r="A9" s="3" t="s">
        <v>19</v>
      </c>
      <c r="B9" s="6">
        <v>3</v>
      </c>
      <c r="C9" s="3">
        <v>1958</v>
      </c>
      <c r="D9" s="5">
        <v>126</v>
      </c>
    </row>
    <row r="10" spans="1:4" x14ac:dyDescent="0.35">
      <c r="A10" s="3" t="s">
        <v>11</v>
      </c>
      <c r="B10" s="6">
        <v>4</v>
      </c>
      <c r="C10" s="3">
        <v>1962</v>
      </c>
      <c r="D10" s="5">
        <v>89</v>
      </c>
    </row>
    <row r="11" spans="1:4" x14ac:dyDescent="0.35">
      <c r="A11" s="3" t="s">
        <v>27</v>
      </c>
      <c r="B11" s="6">
        <v>1</v>
      </c>
      <c r="C11" s="3">
        <v>1966</v>
      </c>
      <c r="D11" s="5">
        <v>89</v>
      </c>
    </row>
    <row r="12" spans="1:4" x14ac:dyDescent="0.35">
      <c r="A12" s="3" t="s">
        <v>8</v>
      </c>
      <c r="B12" s="6">
        <v>2</v>
      </c>
      <c r="C12" s="3">
        <v>1970</v>
      </c>
      <c r="D12" s="5">
        <v>95</v>
      </c>
    </row>
    <row r="13" spans="1:4" x14ac:dyDescent="0.35">
      <c r="A13" s="3" t="s">
        <v>114</v>
      </c>
      <c r="B13" s="6">
        <v>22</v>
      </c>
      <c r="C13" s="3">
        <v>1974</v>
      </c>
      <c r="D13" s="5">
        <v>97</v>
      </c>
    </row>
    <row r="14" spans="1:4" x14ac:dyDescent="0.35">
      <c r="C14" s="3">
        <v>1978</v>
      </c>
      <c r="D14" s="5">
        <v>102</v>
      </c>
    </row>
    <row r="15" spans="1:4" x14ac:dyDescent="0.35">
      <c r="A15" s="2" t="s">
        <v>113</v>
      </c>
      <c r="B15" t="s">
        <v>120</v>
      </c>
      <c r="C15" s="3">
        <v>1982</v>
      </c>
      <c r="D15" s="5">
        <v>146</v>
      </c>
    </row>
    <row r="16" spans="1:4" x14ac:dyDescent="0.35">
      <c r="A16" s="3" t="s">
        <v>9</v>
      </c>
      <c r="B16" s="6">
        <v>3</v>
      </c>
      <c r="C16" s="3">
        <v>1986</v>
      </c>
      <c r="D16" s="5">
        <v>132</v>
      </c>
    </row>
    <row r="17" spans="1:4" x14ac:dyDescent="0.35">
      <c r="A17" s="3" t="s">
        <v>16</v>
      </c>
      <c r="B17" s="6">
        <v>5</v>
      </c>
      <c r="C17" s="3">
        <v>1990</v>
      </c>
      <c r="D17" s="5">
        <v>115</v>
      </c>
    </row>
    <row r="18" spans="1:4" x14ac:dyDescent="0.35">
      <c r="A18" s="3" t="s">
        <v>22</v>
      </c>
      <c r="B18" s="6">
        <v>1</v>
      </c>
      <c r="C18" s="3">
        <v>1994</v>
      </c>
      <c r="D18" s="5">
        <v>141</v>
      </c>
    </row>
    <row r="19" spans="1:4" x14ac:dyDescent="0.35">
      <c r="A19" s="3" t="s">
        <v>14</v>
      </c>
      <c r="B19" s="6">
        <v>2</v>
      </c>
      <c r="C19" s="3">
        <v>1998</v>
      </c>
      <c r="D19" s="5">
        <v>171</v>
      </c>
    </row>
    <row r="20" spans="1:4" x14ac:dyDescent="0.35">
      <c r="A20" s="3" t="s">
        <v>13</v>
      </c>
      <c r="B20" s="6">
        <v>1</v>
      </c>
      <c r="C20" s="3">
        <v>2002</v>
      </c>
      <c r="D20" s="5">
        <v>161</v>
      </c>
    </row>
    <row r="21" spans="1:4" x14ac:dyDescent="0.35">
      <c r="A21" s="3" t="s">
        <v>19</v>
      </c>
      <c r="B21" s="6">
        <v>3</v>
      </c>
      <c r="C21" s="3">
        <v>2006</v>
      </c>
      <c r="D21" s="5">
        <v>147</v>
      </c>
    </row>
    <row r="22" spans="1:4" x14ac:dyDescent="0.35">
      <c r="A22" s="3" t="s">
        <v>11</v>
      </c>
      <c r="B22" s="6">
        <v>4</v>
      </c>
      <c r="C22" s="3">
        <v>2010</v>
      </c>
      <c r="D22" s="5">
        <v>145</v>
      </c>
    </row>
    <row r="23" spans="1:4" x14ac:dyDescent="0.35">
      <c r="A23" s="3" t="s">
        <v>27</v>
      </c>
      <c r="B23" s="6">
        <v>1</v>
      </c>
      <c r="C23" s="3">
        <v>2014</v>
      </c>
      <c r="D23" s="5">
        <v>171</v>
      </c>
    </row>
    <row r="24" spans="1:4" x14ac:dyDescent="0.35">
      <c r="A24" s="3" t="s">
        <v>8</v>
      </c>
      <c r="B24" s="6">
        <v>2</v>
      </c>
      <c r="C24" s="3">
        <v>2018</v>
      </c>
      <c r="D24" s="5">
        <v>169</v>
      </c>
    </row>
    <row r="25" spans="1:4" x14ac:dyDescent="0.35">
      <c r="A25" s="3" t="s">
        <v>114</v>
      </c>
      <c r="B25" s="6">
        <v>22</v>
      </c>
      <c r="C25" s="3">
        <v>2022</v>
      </c>
      <c r="D25" s="5">
        <v>172</v>
      </c>
    </row>
    <row r="26" spans="1:4" x14ac:dyDescent="0.35">
      <c r="C26" s="3" t="s">
        <v>114</v>
      </c>
      <c r="D26" s="5">
        <v>2720</v>
      </c>
    </row>
    <row r="27" spans="1:4" x14ac:dyDescent="0.35">
      <c r="A27" s="2" t="s">
        <v>113</v>
      </c>
      <c r="B27" t="s">
        <v>115</v>
      </c>
    </row>
    <row r="28" spans="1:4" x14ac:dyDescent="0.35">
      <c r="A28" s="3">
        <v>1930</v>
      </c>
      <c r="B28">
        <v>1</v>
      </c>
    </row>
    <row r="29" spans="1:4" x14ac:dyDescent="0.35">
      <c r="A29" s="3">
        <v>1934</v>
      </c>
      <c r="B29">
        <v>1</v>
      </c>
    </row>
    <row r="30" spans="1:4" x14ac:dyDescent="0.35">
      <c r="A30" s="3">
        <v>1938</v>
      </c>
      <c r="B30">
        <v>1</v>
      </c>
    </row>
    <row r="31" spans="1:4" x14ac:dyDescent="0.35">
      <c r="A31" s="3">
        <v>1950</v>
      </c>
      <c r="B31">
        <v>1</v>
      </c>
    </row>
    <row r="32" spans="1:4" x14ac:dyDescent="0.35">
      <c r="A32" s="3">
        <v>1954</v>
      </c>
      <c r="B32">
        <v>1</v>
      </c>
    </row>
    <row r="33" spans="1:2" x14ac:dyDescent="0.35">
      <c r="A33" s="3">
        <v>1958</v>
      </c>
      <c r="B33">
        <v>1</v>
      </c>
    </row>
    <row r="34" spans="1:2" x14ac:dyDescent="0.35">
      <c r="A34" s="3">
        <v>1962</v>
      </c>
      <c r="B34">
        <v>1</v>
      </c>
    </row>
    <row r="35" spans="1:2" x14ac:dyDescent="0.35">
      <c r="A35" s="3">
        <v>1966</v>
      </c>
      <c r="B35">
        <v>1</v>
      </c>
    </row>
    <row r="36" spans="1:2" x14ac:dyDescent="0.35">
      <c r="A36" s="3">
        <v>1970</v>
      </c>
      <c r="B36">
        <v>1</v>
      </c>
    </row>
    <row r="37" spans="1:2" x14ac:dyDescent="0.35">
      <c r="A37" s="3">
        <v>1974</v>
      </c>
      <c r="B37">
        <v>1</v>
      </c>
    </row>
    <row r="38" spans="1:2" x14ac:dyDescent="0.35">
      <c r="A38" s="3">
        <v>1978</v>
      </c>
      <c r="B38">
        <v>1</v>
      </c>
    </row>
    <row r="39" spans="1:2" x14ac:dyDescent="0.35">
      <c r="A39" s="3">
        <v>1982</v>
      </c>
      <c r="B39">
        <v>1</v>
      </c>
    </row>
    <row r="40" spans="1:2" x14ac:dyDescent="0.35">
      <c r="A40" s="3">
        <v>1986</v>
      </c>
      <c r="B40">
        <v>1</v>
      </c>
    </row>
    <row r="41" spans="1:2" x14ac:dyDescent="0.35">
      <c r="A41" s="3">
        <v>1990</v>
      </c>
      <c r="B41">
        <v>1</v>
      </c>
    </row>
    <row r="42" spans="1:2" x14ac:dyDescent="0.35">
      <c r="A42" s="3">
        <v>1994</v>
      </c>
      <c r="B42">
        <v>1</v>
      </c>
    </row>
    <row r="43" spans="1:2" x14ac:dyDescent="0.35">
      <c r="A43" s="3">
        <v>1998</v>
      </c>
      <c r="B43">
        <v>1</v>
      </c>
    </row>
    <row r="44" spans="1:2" x14ac:dyDescent="0.35">
      <c r="A44" s="3">
        <v>2002</v>
      </c>
      <c r="B44">
        <v>1</v>
      </c>
    </row>
    <row r="45" spans="1:2" x14ac:dyDescent="0.35">
      <c r="A45" s="3">
        <v>2006</v>
      </c>
      <c r="B45">
        <v>1</v>
      </c>
    </row>
    <row r="46" spans="1:2" x14ac:dyDescent="0.35">
      <c r="A46" s="3">
        <v>2010</v>
      </c>
      <c r="B46">
        <v>1</v>
      </c>
    </row>
    <row r="47" spans="1:2" x14ac:dyDescent="0.35">
      <c r="A47" s="3">
        <v>2014</v>
      </c>
      <c r="B47">
        <v>1</v>
      </c>
    </row>
    <row r="48" spans="1:2" x14ac:dyDescent="0.35">
      <c r="A48" s="3">
        <v>2018</v>
      </c>
      <c r="B48">
        <v>1</v>
      </c>
    </row>
    <row r="49" spans="1:2" x14ac:dyDescent="0.35">
      <c r="A49" s="3">
        <v>2022</v>
      </c>
      <c r="B49">
        <v>1</v>
      </c>
    </row>
    <row r="50" spans="1:2" x14ac:dyDescent="0.35">
      <c r="A50" s="3" t="s">
        <v>114</v>
      </c>
      <c r="B50">
        <v>22</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7B9E1-B280-48FC-BB8C-EBB837F148B6}">
  <dimension ref="A1:K901"/>
  <sheetViews>
    <sheetView workbookViewId="0">
      <selection sqref="A1:XFD1048576"/>
    </sheetView>
  </sheetViews>
  <sheetFormatPr defaultRowHeight="14.5" x14ac:dyDescent="0.35"/>
  <cols>
    <col min="3" max="3" width="10.08984375" bestFit="1" customWidth="1"/>
    <col min="4" max="4" width="17.1796875" bestFit="1" customWidth="1"/>
    <col min="5" max="5" width="20.90625" bestFit="1" customWidth="1"/>
    <col min="6" max="6" width="10.90625" bestFit="1" customWidth="1"/>
    <col min="7" max="7" width="10.453125" bestFit="1" customWidth="1"/>
    <col min="8" max="8" width="20.90625" bestFit="1" customWidth="1"/>
    <col min="9" max="9" width="9.7265625" bestFit="1" customWidth="1"/>
    <col min="10" max="10" width="10.08984375" bestFit="1" customWidth="1"/>
    <col min="11" max="11" width="11.6328125" bestFit="1" customWidth="1"/>
  </cols>
  <sheetData>
    <row r="1" spans="1:11" x14ac:dyDescent="0.35">
      <c r="A1" t="s">
        <v>35</v>
      </c>
      <c r="B1" t="s">
        <v>0</v>
      </c>
      <c r="C1" t="s">
        <v>36</v>
      </c>
      <c r="D1" t="s">
        <v>37</v>
      </c>
      <c r="E1" t="s">
        <v>38</v>
      </c>
      <c r="F1" t="s">
        <v>39</v>
      </c>
      <c r="G1" t="s">
        <v>40</v>
      </c>
      <c r="H1" t="s">
        <v>41</v>
      </c>
      <c r="I1" t="s">
        <v>42</v>
      </c>
      <c r="J1" t="s">
        <v>43</v>
      </c>
      <c r="K1" t="s">
        <v>44</v>
      </c>
    </row>
    <row r="2" spans="1:11" x14ac:dyDescent="0.35">
      <c r="A2">
        <v>1</v>
      </c>
      <c r="B2">
        <v>1930</v>
      </c>
      <c r="C2" s="1">
        <v>11152</v>
      </c>
      <c r="D2" t="s">
        <v>45</v>
      </c>
      <c r="E2" t="s">
        <v>14</v>
      </c>
      <c r="F2">
        <v>4</v>
      </c>
      <c r="G2">
        <v>1</v>
      </c>
      <c r="H2" t="s">
        <v>24</v>
      </c>
      <c r="I2" t="b">
        <v>0</v>
      </c>
      <c r="J2">
        <f>F:F+G:G</f>
        <v>5</v>
      </c>
      <c r="K2" t="str">
        <f>IF(F2&gt;G2,"Home Win",IF(F2&lt;G2,"Away Win","Draw"))</f>
        <v>Home Win</v>
      </c>
    </row>
    <row r="3" spans="1:11" x14ac:dyDescent="0.35">
      <c r="A3">
        <v>2</v>
      </c>
      <c r="B3">
        <v>1930</v>
      </c>
      <c r="C3" s="1">
        <v>11152</v>
      </c>
      <c r="D3" t="s">
        <v>45</v>
      </c>
      <c r="E3" t="s">
        <v>46</v>
      </c>
      <c r="F3">
        <v>3</v>
      </c>
      <c r="G3">
        <v>0</v>
      </c>
      <c r="H3" t="s">
        <v>33</v>
      </c>
      <c r="I3" t="b">
        <v>0</v>
      </c>
      <c r="J3">
        <f t="shared" ref="J3:J66" si="0">F:F+G:G</f>
        <v>3</v>
      </c>
      <c r="K3" t="str">
        <f t="shared" ref="K3:K66" si="1">IF(F3&gt;G3,"Home Win",IF(F3&lt;G3,"Away Win","Draw"))</f>
        <v>Home Win</v>
      </c>
    </row>
    <row r="4" spans="1:11" x14ac:dyDescent="0.35">
      <c r="A4">
        <v>3</v>
      </c>
      <c r="B4">
        <v>1930</v>
      </c>
      <c r="C4" s="1">
        <v>11153</v>
      </c>
      <c r="D4" t="s">
        <v>45</v>
      </c>
      <c r="E4" t="s">
        <v>47</v>
      </c>
      <c r="F4">
        <v>2</v>
      </c>
      <c r="G4">
        <v>1</v>
      </c>
      <c r="H4" t="s">
        <v>16</v>
      </c>
      <c r="I4" t="b">
        <v>0</v>
      </c>
      <c r="J4">
        <f t="shared" si="0"/>
        <v>3</v>
      </c>
      <c r="K4" t="str">
        <f t="shared" si="1"/>
        <v>Home Win</v>
      </c>
    </row>
    <row r="5" spans="1:11" x14ac:dyDescent="0.35">
      <c r="A5">
        <v>4</v>
      </c>
      <c r="B5">
        <v>1930</v>
      </c>
      <c r="C5" s="1">
        <v>11153</v>
      </c>
      <c r="D5" t="s">
        <v>45</v>
      </c>
      <c r="E5" t="s">
        <v>48</v>
      </c>
      <c r="F5">
        <v>3</v>
      </c>
      <c r="G5">
        <v>1</v>
      </c>
      <c r="H5" t="s">
        <v>49</v>
      </c>
      <c r="I5" t="b">
        <v>0</v>
      </c>
      <c r="J5">
        <f t="shared" si="0"/>
        <v>4</v>
      </c>
      <c r="K5" t="str">
        <f t="shared" si="1"/>
        <v>Home Win</v>
      </c>
    </row>
    <row r="6" spans="1:11" x14ac:dyDescent="0.35">
      <c r="A6">
        <v>5</v>
      </c>
      <c r="B6">
        <v>1930</v>
      </c>
      <c r="C6" s="1">
        <v>11154</v>
      </c>
      <c r="D6" t="s">
        <v>45</v>
      </c>
      <c r="E6" t="s">
        <v>9</v>
      </c>
      <c r="F6">
        <v>1</v>
      </c>
      <c r="G6">
        <v>0</v>
      </c>
      <c r="H6" t="s">
        <v>14</v>
      </c>
      <c r="I6" t="b">
        <v>0</v>
      </c>
      <c r="J6">
        <f t="shared" si="0"/>
        <v>1</v>
      </c>
      <c r="K6" t="str">
        <f t="shared" si="1"/>
        <v>Home Win</v>
      </c>
    </row>
    <row r="7" spans="1:11" x14ac:dyDescent="0.35">
      <c r="A7">
        <v>6</v>
      </c>
      <c r="B7">
        <v>1930</v>
      </c>
      <c r="C7" s="1">
        <v>11155</v>
      </c>
      <c r="D7" t="s">
        <v>45</v>
      </c>
      <c r="E7" t="s">
        <v>21</v>
      </c>
      <c r="F7">
        <v>3</v>
      </c>
      <c r="G7">
        <v>0</v>
      </c>
      <c r="H7" t="s">
        <v>24</v>
      </c>
      <c r="I7" t="b">
        <v>0</v>
      </c>
      <c r="J7">
        <f t="shared" si="0"/>
        <v>3</v>
      </c>
      <c r="K7" t="str">
        <f t="shared" si="1"/>
        <v>Home Win</v>
      </c>
    </row>
    <row r="8" spans="1:11" x14ac:dyDescent="0.35">
      <c r="A8">
        <v>7</v>
      </c>
      <c r="B8">
        <v>1930</v>
      </c>
      <c r="C8" s="1">
        <v>11156</v>
      </c>
      <c r="D8" t="s">
        <v>45</v>
      </c>
      <c r="E8" t="s">
        <v>47</v>
      </c>
      <c r="F8">
        <v>4</v>
      </c>
      <c r="G8">
        <v>0</v>
      </c>
      <c r="H8" t="s">
        <v>50</v>
      </c>
      <c r="I8" t="b">
        <v>0</v>
      </c>
      <c r="J8">
        <f t="shared" si="0"/>
        <v>4</v>
      </c>
      <c r="K8" t="str">
        <f t="shared" si="1"/>
        <v>Home Win</v>
      </c>
    </row>
    <row r="9" spans="1:11" x14ac:dyDescent="0.35">
      <c r="A9">
        <v>8</v>
      </c>
      <c r="B9">
        <v>1930</v>
      </c>
      <c r="C9" s="1">
        <v>11156</v>
      </c>
      <c r="D9" t="s">
        <v>45</v>
      </c>
      <c r="E9" t="s">
        <v>46</v>
      </c>
      <c r="F9">
        <v>3</v>
      </c>
      <c r="G9">
        <v>0</v>
      </c>
      <c r="H9" t="s">
        <v>51</v>
      </c>
      <c r="I9" t="b">
        <v>0</v>
      </c>
      <c r="J9">
        <f t="shared" si="0"/>
        <v>3</v>
      </c>
      <c r="K9" t="str">
        <f t="shared" si="1"/>
        <v>Home Win</v>
      </c>
    </row>
    <row r="10" spans="1:11" x14ac:dyDescent="0.35">
      <c r="A10">
        <v>9</v>
      </c>
      <c r="B10">
        <v>1930</v>
      </c>
      <c r="C10" s="1">
        <v>11157</v>
      </c>
      <c r="D10" t="s">
        <v>45</v>
      </c>
      <c r="E10" t="s">
        <v>8</v>
      </c>
      <c r="F10">
        <v>1</v>
      </c>
      <c r="G10">
        <v>0</v>
      </c>
      <c r="H10" t="s">
        <v>49</v>
      </c>
      <c r="I10" t="b">
        <v>1</v>
      </c>
      <c r="J10">
        <f t="shared" si="0"/>
        <v>1</v>
      </c>
      <c r="K10" t="str">
        <f t="shared" si="1"/>
        <v>Home Win</v>
      </c>
    </row>
    <row r="11" spans="1:11" x14ac:dyDescent="0.35">
      <c r="A11">
        <v>10</v>
      </c>
      <c r="B11">
        <v>1930</v>
      </c>
      <c r="C11" s="1">
        <v>11158</v>
      </c>
      <c r="D11" t="s">
        <v>45</v>
      </c>
      <c r="E11" t="s">
        <v>21</v>
      </c>
      <c r="F11">
        <v>1</v>
      </c>
      <c r="G11">
        <v>0</v>
      </c>
      <c r="H11" t="s">
        <v>14</v>
      </c>
      <c r="I11" t="b">
        <v>0</v>
      </c>
      <c r="J11">
        <f t="shared" si="0"/>
        <v>1</v>
      </c>
      <c r="K11" t="str">
        <f t="shared" si="1"/>
        <v>Home Win</v>
      </c>
    </row>
    <row r="12" spans="1:11" x14ac:dyDescent="0.35">
      <c r="A12">
        <v>11</v>
      </c>
      <c r="B12">
        <v>1930</v>
      </c>
      <c r="C12" s="1">
        <v>11158</v>
      </c>
      <c r="D12" t="s">
        <v>45</v>
      </c>
      <c r="E12" t="s">
        <v>9</v>
      </c>
      <c r="F12">
        <v>6</v>
      </c>
      <c r="G12">
        <v>3</v>
      </c>
      <c r="H12" t="s">
        <v>24</v>
      </c>
      <c r="I12" t="b">
        <v>0</v>
      </c>
      <c r="J12">
        <f t="shared" si="0"/>
        <v>9</v>
      </c>
      <c r="K12" t="str">
        <f t="shared" si="1"/>
        <v>Home Win</v>
      </c>
    </row>
    <row r="13" spans="1:11" x14ac:dyDescent="0.35">
      <c r="A13">
        <v>12</v>
      </c>
      <c r="B13">
        <v>1930</v>
      </c>
      <c r="C13" s="1">
        <v>11159</v>
      </c>
      <c r="D13" t="s">
        <v>45</v>
      </c>
      <c r="E13" t="s">
        <v>16</v>
      </c>
      <c r="F13">
        <v>4</v>
      </c>
      <c r="G13">
        <v>0</v>
      </c>
      <c r="H13" t="s">
        <v>50</v>
      </c>
      <c r="I13" t="b">
        <v>0</v>
      </c>
      <c r="J13">
        <f t="shared" si="0"/>
        <v>4</v>
      </c>
      <c r="K13" t="str">
        <f t="shared" si="1"/>
        <v>Home Win</v>
      </c>
    </row>
    <row r="14" spans="1:11" x14ac:dyDescent="0.35">
      <c r="A14">
        <v>13</v>
      </c>
      <c r="B14">
        <v>1930</v>
      </c>
      <c r="C14" s="1">
        <v>11159</v>
      </c>
      <c r="D14" t="s">
        <v>45</v>
      </c>
      <c r="E14" t="s">
        <v>51</v>
      </c>
      <c r="F14">
        <v>1</v>
      </c>
      <c r="G14">
        <v>0</v>
      </c>
      <c r="H14" t="s">
        <v>33</v>
      </c>
      <c r="I14" t="b">
        <v>0</v>
      </c>
      <c r="J14">
        <f t="shared" si="0"/>
        <v>1</v>
      </c>
      <c r="K14" t="str">
        <f t="shared" si="1"/>
        <v>Home Win</v>
      </c>
    </row>
    <row r="15" spans="1:11" x14ac:dyDescent="0.35">
      <c r="A15">
        <v>14</v>
      </c>
      <c r="B15">
        <v>1930</v>
      </c>
      <c r="C15" s="1">
        <v>11160</v>
      </c>
      <c r="D15" t="s">
        <v>45</v>
      </c>
      <c r="E15" t="s">
        <v>8</v>
      </c>
      <c r="F15">
        <v>4</v>
      </c>
      <c r="G15">
        <v>0</v>
      </c>
      <c r="H15" t="s">
        <v>48</v>
      </c>
      <c r="I15" t="b">
        <v>1</v>
      </c>
      <c r="J15">
        <f t="shared" si="0"/>
        <v>4</v>
      </c>
      <c r="K15" t="str">
        <f t="shared" si="1"/>
        <v>Home Win</v>
      </c>
    </row>
    <row r="16" spans="1:11" x14ac:dyDescent="0.35">
      <c r="A16">
        <v>15</v>
      </c>
      <c r="B16">
        <v>1930</v>
      </c>
      <c r="C16" s="1">
        <v>11161</v>
      </c>
      <c r="D16" t="s">
        <v>45</v>
      </c>
      <c r="E16" t="s">
        <v>9</v>
      </c>
      <c r="F16">
        <v>3</v>
      </c>
      <c r="G16">
        <v>1</v>
      </c>
      <c r="H16" t="s">
        <v>21</v>
      </c>
      <c r="I16" t="b">
        <v>0</v>
      </c>
      <c r="J16">
        <f t="shared" si="0"/>
        <v>4</v>
      </c>
      <c r="K16" t="str">
        <f t="shared" si="1"/>
        <v>Home Win</v>
      </c>
    </row>
    <row r="17" spans="1:11" x14ac:dyDescent="0.35">
      <c r="A17">
        <v>16</v>
      </c>
      <c r="B17">
        <v>1930</v>
      </c>
      <c r="C17" s="1">
        <v>11165</v>
      </c>
      <c r="D17" t="s">
        <v>52</v>
      </c>
      <c r="E17" t="s">
        <v>9</v>
      </c>
      <c r="F17">
        <v>6</v>
      </c>
      <c r="G17">
        <v>1</v>
      </c>
      <c r="H17" t="s">
        <v>46</v>
      </c>
      <c r="I17" t="b">
        <v>0</v>
      </c>
      <c r="J17">
        <f t="shared" si="0"/>
        <v>7</v>
      </c>
      <c r="K17" t="str">
        <f t="shared" si="1"/>
        <v>Home Win</v>
      </c>
    </row>
    <row r="18" spans="1:11" x14ac:dyDescent="0.35">
      <c r="A18">
        <v>17</v>
      </c>
      <c r="B18">
        <v>1930</v>
      </c>
      <c r="C18" s="1">
        <v>11166</v>
      </c>
      <c r="D18" t="s">
        <v>52</v>
      </c>
      <c r="E18" t="s">
        <v>8</v>
      </c>
      <c r="F18">
        <v>6</v>
      </c>
      <c r="G18">
        <v>1</v>
      </c>
      <c r="H18" t="s">
        <v>47</v>
      </c>
      <c r="I18" t="b">
        <v>1</v>
      </c>
      <c r="J18">
        <f t="shared" si="0"/>
        <v>7</v>
      </c>
      <c r="K18" t="str">
        <f t="shared" si="1"/>
        <v>Home Win</v>
      </c>
    </row>
    <row r="19" spans="1:11" x14ac:dyDescent="0.35">
      <c r="A19">
        <v>18</v>
      </c>
      <c r="B19">
        <v>1930</v>
      </c>
      <c r="C19" s="1">
        <v>11169</v>
      </c>
      <c r="D19" t="s">
        <v>53</v>
      </c>
      <c r="E19" t="s">
        <v>8</v>
      </c>
      <c r="F19">
        <v>4</v>
      </c>
      <c r="G19">
        <v>2</v>
      </c>
      <c r="H19" t="s">
        <v>9</v>
      </c>
      <c r="I19" t="b">
        <v>1</v>
      </c>
      <c r="J19">
        <f t="shared" si="0"/>
        <v>6</v>
      </c>
      <c r="K19" t="str">
        <f t="shared" si="1"/>
        <v>Home Win</v>
      </c>
    </row>
    <row r="20" spans="1:11" x14ac:dyDescent="0.35">
      <c r="A20">
        <v>19</v>
      </c>
      <c r="B20">
        <v>1934</v>
      </c>
      <c r="C20" s="1">
        <v>12566</v>
      </c>
      <c r="D20" t="s">
        <v>54</v>
      </c>
      <c r="E20" t="s">
        <v>20</v>
      </c>
      <c r="F20">
        <v>3</v>
      </c>
      <c r="G20">
        <v>2</v>
      </c>
      <c r="H20" t="s">
        <v>14</v>
      </c>
      <c r="I20" t="b">
        <v>0</v>
      </c>
      <c r="J20">
        <f t="shared" si="0"/>
        <v>5</v>
      </c>
      <c r="K20" t="str">
        <f t="shared" si="1"/>
        <v>Home Win</v>
      </c>
    </row>
    <row r="21" spans="1:11" x14ac:dyDescent="0.35">
      <c r="A21">
        <v>20</v>
      </c>
      <c r="B21">
        <v>1934</v>
      </c>
      <c r="C21" s="1">
        <v>12566</v>
      </c>
      <c r="D21" t="s">
        <v>54</v>
      </c>
      <c r="E21" t="s">
        <v>15</v>
      </c>
      <c r="F21">
        <v>4</v>
      </c>
      <c r="G21">
        <v>2</v>
      </c>
      <c r="H21" t="s">
        <v>55</v>
      </c>
      <c r="I21" t="b">
        <v>0</v>
      </c>
      <c r="J21">
        <f t="shared" si="0"/>
        <v>6</v>
      </c>
      <c r="K21" t="str">
        <f t="shared" si="1"/>
        <v>Home Win</v>
      </c>
    </row>
    <row r="22" spans="1:11" x14ac:dyDescent="0.35">
      <c r="A22">
        <v>21</v>
      </c>
      <c r="B22">
        <v>1934</v>
      </c>
      <c r="C22" s="1">
        <v>12566</v>
      </c>
      <c r="D22" t="s">
        <v>54</v>
      </c>
      <c r="E22" t="s">
        <v>18</v>
      </c>
      <c r="F22">
        <v>3</v>
      </c>
      <c r="G22">
        <v>2</v>
      </c>
      <c r="H22" t="s">
        <v>25</v>
      </c>
      <c r="I22" t="b">
        <v>0</v>
      </c>
      <c r="J22">
        <f t="shared" si="0"/>
        <v>5</v>
      </c>
      <c r="K22" t="str">
        <f t="shared" si="1"/>
        <v>Home Win</v>
      </c>
    </row>
    <row r="23" spans="1:11" x14ac:dyDescent="0.35">
      <c r="A23">
        <v>22</v>
      </c>
      <c r="B23">
        <v>1934</v>
      </c>
      <c r="C23" s="1">
        <v>12566</v>
      </c>
      <c r="D23" t="s">
        <v>54</v>
      </c>
      <c r="E23" t="s">
        <v>17</v>
      </c>
      <c r="F23">
        <v>3</v>
      </c>
      <c r="G23">
        <v>2</v>
      </c>
      <c r="H23" t="s">
        <v>9</v>
      </c>
      <c r="I23" t="b">
        <v>0</v>
      </c>
      <c r="J23">
        <f t="shared" si="0"/>
        <v>5</v>
      </c>
      <c r="K23" t="str">
        <f t="shared" si="1"/>
        <v>Home Win</v>
      </c>
    </row>
    <row r="24" spans="1:11" x14ac:dyDescent="0.35">
      <c r="A24">
        <v>23</v>
      </c>
      <c r="B24">
        <v>1934</v>
      </c>
      <c r="C24" s="1">
        <v>12566</v>
      </c>
      <c r="D24" t="s">
        <v>54</v>
      </c>
      <c r="E24" t="s">
        <v>13</v>
      </c>
      <c r="F24">
        <v>5</v>
      </c>
      <c r="G24">
        <v>2</v>
      </c>
      <c r="H24" t="s">
        <v>33</v>
      </c>
      <c r="I24" t="b">
        <v>0</v>
      </c>
      <c r="J24">
        <f t="shared" si="0"/>
        <v>7</v>
      </c>
      <c r="K24" t="str">
        <f t="shared" si="1"/>
        <v>Home Win</v>
      </c>
    </row>
    <row r="25" spans="1:11" x14ac:dyDescent="0.35">
      <c r="A25">
        <v>24</v>
      </c>
      <c r="B25">
        <v>1934</v>
      </c>
      <c r="C25" s="1">
        <v>12566</v>
      </c>
      <c r="D25" t="s">
        <v>54</v>
      </c>
      <c r="E25" t="s">
        <v>27</v>
      </c>
      <c r="F25">
        <v>3</v>
      </c>
      <c r="G25">
        <v>1</v>
      </c>
      <c r="H25" t="s">
        <v>16</v>
      </c>
      <c r="I25" t="b">
        <v>0</v>
      </c>
      <c r="J25">
        <f t="shared" si="0"/>
        <v>4</v>
      </c>
      <c r="K25" t="str">
        <f t="shared" si="1"/>
        <v>Home Win</v>
      </c>
    </row>
    <row r="26" spans="1:11" x14ac:dyDescent="0.35">
      <c r="A26">
        <v>25</v>
      </c>
      <c r="B26">
        <v>1934</v>
      </c>
      <c r="C26" s="1">
        <v>12566</v>
      </c>
      <c r="D26" t="s">
        <v>54</v>
      </c>
      <c r="E26" t="s">
        <v>11</v>
      </c>
      <c r="F26">
        <v>7</v>
      </c>
      <c r="G26">
        <v>1</v>
      </c>
      <c r="H26" t="s">
        <v>46</v>
      </c>
      <c r="I26" t="b">
        <v>1</v>
      </c>
      <c r="J26">
        <f t="shared" si="0"/>
        <v>8</v>
      </c>
      <c r="K26" t="str">
        <f t="shared" si="1"/>
        <v>Home Win</v>
      </c>
    </row>
    <row r="27" spans="1:11" x14ac:dyDescent="0.35">
      <c r="A27">
        <v>26</v>
      </c>
      <c r="B27">
        <v>1934</v>
      </c>
      <c r="C27" s="1">
        <v>12566</v>
      </c>
      <c r="D27" t="s">
        <v>54</v>
      </c>
      <c r="E27" t="s">
        <v>12</v>
      </c>
      <c r="F27">
        <v>2</v>
      </c>
      <c r="G27">
        <v>1</v>
      </c>
      <c r="H27" t="s">
        <v>48</v>
      </c>
      <c r="I27" t="b">
        <v>0</v>
      </c>
      <c r="J27">
        <f t="shared" si="0"/>
        <v>3</v>
      </c>
      <c r="K27" t="str">
        <f t="shared" si="1"/>
        <v>Home Win</v>
      </c>
    </row>
    <row r="28" spans="1:11" x14ac:dyDescent="0.35">
      <c r="A28">
        <v>27</v>
      </c>
      <c r="B28">
        <v>1934</v>
      </c>
      <c r="C28" s="1">
        <v>12570</v>
      </c>
      <c r="D28" t="s">
        <v>56</v>
      </c>
      <c r="E28" t="s">
        <v>12</v>
      </c>
      <c r="F28">
        <v>3</v>
      </c>
      <c r="G28">
        <v>2</v>
      </c>
      <c r="H28" t="s">
        <v>18</v>
      </c>
      <c r="I28" t="b">
        <v>0</v>
      </c>
      <c r="J28">
        <f t="shared" si="0"/>
        <v>5</v>
      </c>
      <c r="K28" t="str">
        <f t="shared" si="1"/>
        <v>Home Win</v>
      </c>
    </row>
    <row r="29" spans="1:11" x14ac:dyDescent="0.35">
      <c r="A29">
        <v>28</v>
      </c>
      <c r="B29">
        <v>1934</v>
      </c>
      <c r="C29" s="1">
        <v>12570</v>
      </c>
      <c r="D29" t="s">
        <v>56</v>
      </c>
      <c r="E29" t="s">
        <v>13</v>
      </c>
      <c r="F29">
        <v>2</v>
      </c>
      <c r="G29">
        <v>1</v>
      </c>
      <c r="H29" t="s">
        <v>17</v>
      </c>
      <c r="I29" t="b">
        <v>0</v>
      </c>
      <c r="J29">
        <f t="shared" si="0"/>
        <v>3</v>
      </c>
      <c r="K29" t="str">
        <f t="shared" si="1"/>
        <v>Home Win</v>
      </c>
    </row>
    <row r="30" spans="1:11" x14ac:dyDescent="0.35">
      <c r="A30">
        <v>29</v>
      </c>
      <c r="B30">
        <v>1934</v>
      </c>
      <c r="C30" s="1">
        <v>12570</v>
      </c>
      <c r="D30" t="s">
        <v>56</v>
      </c>
      <c r="E30" t="s">
        <v>11</v>
      </c>
      <c r="F30">
        <v>1</v>
      </c>
      <c r="G30">
        <v>1</v>
      </c>
      <c r="H30" t="s">
        <v>27</v>
      </c>
      <c r="I30" t="b">
        <v>1</v>
      </c>
      <c r="J30">
        <f t="shared" si="0"/>
        <v>2</v>
      </c>
      <c r="K30" t="str">
        <f t="shared" si="1"/>
        <v>Draw</v>
      </c>
    </row>
    <row r="31" spans="1:11" x14ac:dyDescent="0.35">
      <c r="A31">
        <v>30</v>
      </c>
      <c r="B31">
        <v>1934</v>
      </c>
      <c r="C31" s="1">
        <v>12570</v>
      </c>
      <c r="D31" t="s">
        <v>56</v>
      </c>
      <c r="E31" t="s">
        <v>20</v>
      </c>
      <c r="F31">
        <v>2</v>
      </c>
      <c r="G31">
        <v>1</v>
      </c>
      <c r="H31" t="s">
        <v>15</v>
      </c>
      <c r="I31" t="b">
        <v>0</v>
      </c>
      <c r="J31">
        <f t="shared" si="0"/>
        <v>3</v>
      </c>
      <c r="K31" t="str">
        <f t="shared" si="1"/>
        <v>Home Win</v>
      </c>
    </row>
    <row r="32" spans="1:11" x14ac:dyDescent="0.35">
      <c r="A32">
        <v>31</v>
      </c>
      <c r="B32">
        <v>1934</v>
      </c>
      <c r="C32" s="1">
        <v>12571</v>
      </c>
      <c r="D32" t="s">
        <v>56</v>
      </c>
      <c r="E32" t="s">
        <v>11</v>
      </c>
      <c r="F32">
        <v>1</v>
      </c>
      <c r="G32">
        <v>0</v>
      </c>
      <c r="H32" t="s">
        <v>27</v>
      </c>
      <c r="I32" t="b">
        <v>1</v>
      </c>
      <c r="J32">
        <f t="shared" si="0"/>
        <v>1</v>
      </c>
      <c r="K32" t="str">
        <f t="shared" si="1"/>
        <v>Home Win</v>
      </c>
    </row>
    <row r="33" spans="1:11" x14ac:dyDescent="0.35">
      <c r="A33">
        <v>32</v>
      </c>
      <c r="B33">
        <v>1934</v>
      </c>
      <c r="C33" s="1">
        <v>12573</v>
      </c>
      <c r="D33" t="s">
        <v>52</v>
      </c>
      <c r="E33" t="s">
        <v>11</v>
      </c>
      <c r="F33">
        <v>1</v>
      </c>
      <c r="G33">
        <v>0</v>
      </c>
      <c r="H33" t="s">
        <v>20</v>
      </c>
      <c r="I33" t="b">
        <v>1</v>
      </c>
      <c r="J33">
        <f t="shared" si="0"/>
        <v>1</v>
      </c>
      <c r="K33" t="str">
        <f t="shared" si="1"/>
        <v>Home Win</v>
      </c>
    </row>
    <row r="34" spans="1:11" x14ac:dyDescent="0.35">
      <c r="A34">
        <v>33</v>
      </c>
      <c r="B34">
        <v>1934</v>
      </c>
      <c r="C34" s="1">
        <v>12573</v>
      </c>
      <c r="D34" t="s">
        <v>52</v>
      </c>
      <c r="E34" t="s">
        <v>12</v>
      </c>
      <c r="F34">
        <v>3</v>
      </c>
      <c r="G34">
        <v>1</v>
      </c>
      <c r="H34" t="s">
        <v>13</v>
      </c>
      <c r="I34" t="b">
        <v>0</v>
      </c>
      <c r="J34">
        <f t="shared" si="0"/>
        <v>4</v>
      </c>
      <c r="K34" t="str">
        <f t="shared" si="1"/>
        <v>Home Win</v>
      </c>
    </row>
    <row r="35" spans="1:11" x14ac:dyDescent="0.35">
      <c r="A35">
        <v>34</v>
      </c>
      <c r="B35">
        <v>1934</v>
      </c>
      <c r="C35" s="1">
        <v>12577</v>
      </c>
      <c r="D35" t="s">
        <v>57</v>
      </c>
      <c r="E35" t="s">
        <v>13</v>
      </c>
      <c r="F35">
        <v>3</v>
      </c>
      <c r="G35">
        <v>2</v>
      </c>
      <c r="H35" t="s">
        <v>20</v>
      </c>
      <c r="I35" t="b">
        <v>0</v>
      </c>
      <c r="J35">
        <f t="shared" si="0"/>
        <v>5</v>
      </c>
      <c r="K35" t="str">
        <f t="shared" si="1"/>
        <v>Home Win</v>
      </c>
    </row>
    <row r="36" spans="1:11" x14ac:dyDescent="0.35">
      <c r="A36">
        <v>35</v>
      </c>
      <c r="B36">
        <v>1934</v>
      </c>
      <c r="C36" s="1">
        <v>12580</v>
      </c>
      <c r="D36" t="s">
        <v>53</v>
      </c>
      <c r="E36" t="s">
        <v>11</v>
      </c>
      <c r="F36">
        <v>2</v>
      </c>
      <c r="G36">
        <v>1</v>
      </c>
      <c r="H36" t="s">
        <v>12</v>
      </c>
      <c r="I36" t="b">
        <v>1</v>
      </c>
      <c r="J36">
        <f t="shared" si="0"/>
        <v>3</v>
      </c>
      <c r="K36" t="str">
        <f t="shared" si="1"/>
        <v>Home Win</v>
      </c>
    </row>
    <row r="37" spans="1:11" x14ac:dyDescent="0.35">
      <c r="A37">
        <v>36</v>
      </c>
      <c r="B37">
        <v>1938</v>
      </c>
      <c r="C37" s="1">
        <v>14035</v>
      </c>
      <c r="D37" t="s">
        <v>54</v>
      </c>
      <c r="E37" t="s">
        <v>18</v>
      </c>
      <c r="F37">
        <v>1</v>
      </c>
      <c r="G37">
        <v>1</v>
      </c>
      <c r="H37" t="s">
        <v>13</v>
      </c>
      <c r="I37" t="b">
        <v>0</v>
      </c>
      <c r="J37">
        <f t="shared" si="0"/>
        <v>2</v>
      </c>
      <c r="K37" t="str">
        <f t="shared" si="1"/>
        <v>Draw</v>
      </c>
    </row>
    <row r="38" spans="1:11" x14ac:dyDescent="0.35">
      <c r="A38">
        <v>37</v>
      </c>
      <c r="B38">
        <v>1938</v>
      </c>
      <c r="C38" s="1">
        <v>14036</v>
      </c>
      <c r="D38" t="s">
        <v>54</v>
      </c>
      <c r="E38" t="s">
        <v>15</v>
      </c>
      <c r="F38">
        <v>6</v>
      </c>
      <c r="G38">
        <v>0</v>
      </c>
      <c r="H38" t="s">
        <v>58</v>
      </c>
      <c r="I38" t="b">
        <v>0</v>
      </c>
      <c r="J38">
        <f t="shared" si="0"/>
        <v>6</v>
      </c>
      <c r="K38" t="str">
        <f t="shared" si="1"/>
        <v>Home Win</v>
      </c>
    </row>
    <row r="39" spans="1:11" x14ac:dyDescent="0.35">
      <c r="A39">
        <v>38</v>
      </c>
      <c r="B39">
        <v>1938</v>
      </c>
      <c r="C39" s="1">
        <v>14036</v>
      </c>
      <c r="D39" t="s">
        <v>54</v>
      </c>
      <c r="E39" t="s">
        <v>14</v>
      </c>
      <c r="F39">
        <v>3</v>
      </c>
      <c r="G39">
        <v>1</v>
      </c>
      <c r="H39" t="s">
        <v>33</v>
      </c>
      <c r="I39" t="b">
        <v>1</v>
      </c>
      <c r="J39">
        <f t="shared" si="0"/>
        <v>4</v>
      </c>
      <c r="K39" t="str">
        <f t="shared" si="1"/>
        <v>Home Win</v>
      </c>
    </row>
    <row r="40" spans="1:11" x14ac:dyDescent="0.35">
      <c r="A40">
        <v>39</v>
      </c>
      <c r="B40">
        <v>1938</v>
      </c>
      <c r="C40" s="1">
        <v>14036</v>
      </c>
      <c r="D40" t="s">
        <v>54</v>
      </c>
      <c r="E40" t="s">
        <v>59</v>
      </c>
      <c r="F40">
        <v>3</v>
      </c>
      <c r="G40">
        <v>3</v>
      </c>
      <c r="H40" t="s">
        <v>48</v>
      </c>
      <c r="I40" t="b">
        <v>0</v>
      </c>
      <c r="J40">
        <f t="shared" si="0"/>
        <v>6</v>
      </c>
      <c r="K40" t="str">
        <f t="shared" si="1"/>
        <v>Draw</v>
      </c>
    </row>
    <row r="41" spans="1:11" x14ac:dyDescent="0.35">
      <c r="A41">
        <v>40</v>
      </c>
      <c r="B41">
        <v>1938</v>
      </c>
      <c r="C41" s="1">
        <v>14036</v>
      </c>
      <c r="D41" t="s">
        <v>54</v>
      </c>
      <c r="E41" t="s">
        <v>11</v>
      </c>
      <c r="F41">
        <v>2</v>
      </c>
      <c r="G41">
        <v>1</v>
      </c>
      <c r="H41" t="s">
        <v>60</v>
      </c>
      <c r="I41" t="b">
        <v>0</v>
      </c>
      <c r="J41">
        <f t="shared" si="0"/>
        <v>3</v>
      </c>
      <c r="K41" t="str">
        <f t="shared" si="1"/>
        <v>Home Win</v>
      </c>
    </row>
    <row r="42" spans="1:11" x14ac:dyDescent="0.35">
      <c r="A42">
        <v>41</v>
      </c>
      <c r="B42">
        <v>1938</v>
      </c>
      <c r="C42" s="1">
        <v>14036</v>
      </c>
      <c r="D42" t="s">
        <v>54</v>
      </c>
      <c r="E42" t="s">
        <v>16</v>
      </c>
      <c r="F42">
        <v>6</v>
      </c>
      <c r="G42">
        <v>5</v>
      </c>
      <c r="H42" t="s">
        <v>26</v>
      </c>
      <c r="I42" t="b">
        <v>0</v>
      </c>
      <c r="J42">
        <f t="shared" si="0"/>
        <v>11</v>
      </c>
      <c r="K42" t="str">
        <f t="shared" si="1"/>
        <v>Home Win</v>
      </c>
    </row>
    <row r="43" spans="1:11" x14ac:dyDescent="0.35">
      <c r="A43">
        <v>42</v>
      </c>
      <c r="B43">
        <v>1938</v>
      </c>
      <c r="C43" s="1">
        <v>14036</v>
      </c>
      <c r="D43" t="s">
        <v>54</v>
      </c>
      <c r="E43" t="s">
        <v>12</v>
      </c>
      <c r="F43">
        <v>3</v>
      </c>
      <c r="G43">
        <v>0</v>
      </c>
      <c r="H43" t="s">
        <v>25</v>
      </c>
      <c r="I43" t="b">
        <v>0</v>
      </c>
      <c r="J43">
        <f t="shared" si="0"/>
        <v>3</v>
      </c>
      <c r="K43" t="str">
        <f t="shared" si="1"/>
        <v>Home Win</v>
      </c>
    </row>
    <row r="44" spans="1:11" x14ac:dyDescent="0.35">
      <c r="A44">
        <v>43</v>
      </c>
      <c r="B44">
        <v>1938</v>
      </c>
      <c r="C44" s="1">
        <v>14040</v>
      </c>
      <c r="D44" t="s">
        <v>54</v>
      </c>
      <c r="E44" t="s">
        <v>59</v>
      </c>
      <c r="F44">
        <v>2</v>
      </c>
      <c r="G44">
        <v>1</v>
      </c>
      <c r="H44" t="s">
        <v>48</v>
      </c>
      <c r="I44" t="b">
        <v>0</v>
      </c>
      <c r="J44">
        <f t="shared" si="0"/>
        <v>3</v>
      </c>
      <c r="K44" t="str">
        <f t="shared" si="1"/>
        <v>Home Win</v>
      </c>
    </row>
    <row r="45" spans="1:11" x14ac:dyDescent="0.35">
      <c r="A45">
        <v>44</v>
      </c>
      <c r="B45">
        <v>1938</v>
      </c>
      <c r="C45" s="1">
        <v>14040</v>
      </c>
      <c r="D45" t="s">
        <v>54</v>
      </c>
      <c r="E45" t="s">
        <v>18</v>
      </c>
      <c r="F45">
        <v>4</v>
      </c>
      <c r="G45">
        <v>2</v>
      </c>
      <c r="H45" t="s">
        <v>13</v>
      </c>
      <c r="I45" t="b">
        <v>0</v>
      </c>
      <c r="J45">
        <f t="shared" si="0"/>
        <v>6</v>
      </c>
      <c r="K45" t="str">
        <f t="shared" si="1"/>
        <v>Home Win</v>
      </c>
    </row>
    <row r="46" spans="1:11" x14ac:dyDescent="0.35">
      <c r="A46">
        <v>45</v>
      </c>
      <c r="B46">
        <v>1938</v>
      </c>
      <c r="C46" s="1">
        <v>14043</v>
      </c>
      <c r="D46" t="s">
        <v>56</v>
      </c>
      <c r="E46" t="s">
        <v>16</v>
      </c>
      <c r="F46">
        <v>1</v>
      </c>
      <c r="G46">
        <v>1</v>
      </c>
      <c r="H46" t="s">
        <v>12</v>
      </c>
      <c r="I46" t="b">
        <v>0</v>
      </c>
      <c r="J46">
        <f t="shared" si="0"/>
        <v>2</v>
      </c>
      <c r="K46" t="str">
        <f t="shared" si="1"/>
        <v>Draw</v>
      </c>
    </row>
    <row r="47" spans="1:11" x14ac:dyDescent="0.35">
      <c r="A47">
        <v>46</v>
      </c>
      <c r="B47">
        <v>1938</v>
      </c>
      <c r="C47" s="1">
        <v>14043</v>
      </c>
      <c r="D47" t="s">
        <v>56</v>
      </c>
      <c r="E47" t="s">
        <v>15</v>
      </c>
      <c r="F47">
        <v>2</v>
      </c>
      <c r="G47">
        <v>0</v>
      </c>
      <c r="H47" t="s">
        <v>18</v>
      </c>
      <c r="I47" t="b">
        <v>0</v>
      </c>
      <c r="J47">
        <f t="shared" si="0"/>
        <v>2</v>
      </c>
      <c r="K47" t="str">
        <f t="shared" si="1"/>
        <v>Home Win</v>
      </c>
    </row>
    <row r="48" spans="1:11" x14ac:dyDescent="0.35">
      <c r="A48">
        <v>47</v>
      </c>
      <c r="B48">
        <v>1938</v>
      </c>
      <c r="C48" s="1">
        <v>14043</v>
      </c>
      <c r="D48" t="s">
        <v>56</v>
      </c>
      <c r="E48" t="s">
        <v>17</v>
      </c>
      <c r="F48">
        <v>8</v>
      </c>
      <c r="G48">
        <v>0</v>
      </c>
      <c r="H48" t="s">
        <v>59</v>
      </c>
      <c r="I48" t="b">
        <v>0</v>
      </c>
      <c r="J48">
        <f t="shared" si="0"/>
        <v>8</v>
      </c>
      <c r="K48" t="str">
        <f t="shared" si="1"/>
        <v>Home Win</v>
      </c>
    </row>
    <row r="49" spans="1:11" x14ac:dyDescent="0.35">
      <c r="A49">
        <v>48</v>
      </c>
      <c r="B49">
        <v>1938</v>
      </c>
      <c r="C49" s="1">
        <v>14043</v>
      </c>
      <c r="D49" t="s">
        <v>56</v>
      </c>
      <c r="E49" t="s">
        <v>14</v>
      </c>
      <c r="F49">
        <v>1</v>
      </c>
      <c r="G49">
        <v>3</v>
      </c>
      <c r="H49" t="s">
        <v>11</v>
      </c>
      <c r="I49" t="b">
        <v>1</v>
      </c>
      <c r="J49">
        <f t="shared" si="0"/>
        <v>4</v>
      </c>
      <c r="K49" t="str">
        <f t="shared" si="1"/>
        <v>Away Win</v>
      </c>
    </row>
    <row r="50" spans="1:11" x14ac:dyDescent="0.35">
      <c r="A50">
        <v>49</v>
      </c>
      <c r="B50">
        <v>1938</v>
      </c>
      <c r="C50" s="1">
        <v>14045</v>
      </c>
      <c r="D50" t="s">
        <v>56</v>
      </c>
      <c r="E50" t="s">
        <v>16</v>
      </c>
      <c r="F50">
        <v>2</v>
      </c>
      <c r="G50">
        <v>1</v>
      </c>
      <c r="H50" t="s">
        <v>12</v>
      </c>
      <c r="I50" t="b">
        <v>0</v>
      </c>
      <c r="J50">
        <f t="shared" si="0"/>
        <v>3</v>
      </c>
      <c r="K50" t="str">
        <f t="shared" si="1"/>
        <v>Home Win</v>
      </c>
    </row>
    <row r="51" spans="1:11" x14ac:dyDescent="0.35">
      <c r="A51">
        <v>50</v>
      </c>
      <c r="B51">
        <v>1938</v>
      </c>
      <c r="C51" s="1">
        <v>14047</v>
      </c>
      <c r="D51" t="s">
        <v>52</v>
      </c>
      <c r="E51" t="s">
        <v>15</v>
      </c>
      <c r="F51">
        <v>5</v>
      </c>
      <c r="G51">
        <v>1</v>
      </c>
      <c r="H51" t="s">
        <v>17</v>
      </c>
      <c r="I51" t="b">
        <v>0</v>
      </c>
      <c r="J51">
        <f t="shared" si="0"/>
        <v>6</v>
      </c>
      <c r="K51" t="str">
        <f t="shared" si="1"/>
        <v>Home Win</v>
      </c>
    </row>
    <row r="52" spans="1:11" x14ac:dyDescent="0.35">
      <c r="A52">
        <v>51</v>
      </c>
      <c r="B52">
        <v>1938</v>
      </c>
      <c r="C52" s="1">
        <v>14047</v>
      </c>
      <c r="D52" t="s">
        <v>52</v>
      </c>
      <c r="E52" t="s">
        <v>11</v>
      </c>
      <c r="F52">
        <v>2</v>
      </c>
      <c r="G52">
        <v>1</v>
      </c>
      <c r="H52" t="s">
        <v>16</v>
      </c>
      <c r="I52" t="b">
        <v>0</v>
      </c>
      <c r="J52">
        <f t="shared" si="0"/>
        <v>3</v>
      </c>
      <c r="K52" t="str">
        <f t="shared" si="1"/>
        <v>Home Win</v>
      </c>
    </row>
    <row r="53" spans="1:11" x14ac:dyDescent="0.35">
      <c r="A53">
        <v>52</v>
      </c>
      <c r="B53">
        <v>1938</v>
      </c>
      <c r="C53" s="1">
        <v>14050</v>
      </c>
      <c r="D53" t="s">
        <v>57</v>
      </c>
      <c r="E53" t="s">
        <v>16</v>
      </c>
      <c r="F53">
        <v>4</v>
      </c>
      <c r="G53">
        <v>2</v>
      </c>
      <c r="H53" t="s">
        <v>17</v>
      </c>
      <c r="I53" t="b">
        <v>0</v>
      </c>
      <c r="J53">
        <f t="shared" si="0"/>
        <v>6</v>
      </c>
      <c r="K53" t="str">
        <f t="shared" si="1"/>
        <v>Home Win</v>
      </c>
    </row>
    <row r="54" spans="1:11" x14ac:dyDescent="0.35">
      <c r="A54">
        <v>53</v>
      </c>
      <c r="B54">
        <v>1938</v>
      </c>
      <c r="C54" s="1">
        <v>14050</v>
      </c>
      <c r="D54" t="s">
        <v>53</v>
      </c>
      <c r="E54" t="s">
        <v>11</v>
      </c>
      <c r="F54">
        <v>4</v>
      </c>
      <c r="G54">
        <v>2</v>
      </c>
      <c r="H54" t="s">
        <v>15</v>
      </c>
      <c r="I54" t="b">
        <v>0</v>
      </c>
      <c r="J54">
        <f t="shared" si="0"/>
        <v>6</v>
      </c>
      <c r="K54" t="str">
        <f t="shared" si="1"/>
        <v>Home Win</v>
      </c>
    </row>
    <row r="55" spans="1:11" x14ac:dyDescent="0.35">
      <c r="A55">
        <v>54</v>
      </c>
      <c r="B55">
        <v>1950</v>
      </c>
      <c r="C55" s="1">
        <v>18438</v>
      </c>
      <c r="D55" t="s">
        <v>61</v>
      </c>
      <c r="E55" t="s">
        <v>16</v>
      </c>
      <c r="F55">
        <v>4</v>
      </c>
      <c r="G55">
        <v>0</v>
      </c>
      <c r="H55" t="s">
        <v>24</v>
      </c>
      <c r="I55" t="b">
        <v>1</v>
      </c>
      <c r="J55">
        <f t="shared" si="0"/>
        <v>4</v>
      </c>
      <c r="K55" t="str">
        <f t="shared" si="1"/>
        <v>Home Win</v>
      </c>
    </row>
    <row r="56" spans="1:11" x14ac:dyDescent="0.35">
      <c r="A56">
        <v>55</v>
      </c>
      <c r="B56">
        <v>1950</v>
      </c>
      <c r="C56" s="1">
        <v>18439</v>
      </c>
      <c r="D56" t="s">
        <v>61</v>
      </c>
      <c r="E56" t="s">
        <v>22</v>
      </c>
      <c r="F56">
        <v>2</v>
      </c>
      <c r="G56">
        <v>0</v>
      </c>
      <c r="H56" t="s">
        <v>21</v>
      </c>
      <c r="I56" t="b">
        <v>0</v>
      </c>
      <c r="J56">
        <f t="shared" si="0"/>
        <v>2</v>
      </c>
      <c r="K56" t="str">
        <f t="shared" si="1"/>
        <v>Home Win</v>
      </c>
    </row>
    <row r="57" spans="1:11" x14ac:dyDescent="0.35">
      <c r="A57">
        <v>56</v>
      </c>
      <c r="B57">
        <v>1950</v>
      </c>
      <c r="C57" s="1">
        <v>18439</v>
      </c>
      <c r="D57" t="s">
        <v>61</v>
      </c>
      <c r="E57" t="s">
        <v>27</v>
      </c>
      <c r="F57">
        <v>3</v>
      </c>
      <c r="G57">
        <v>1</v>
      </c>
      <c r="H57" t="s">
        <v>46</v>
      </c>
      <c r="I57" t="b">
        <v>0</v>
      </c>
      <c r="J57">
        <f t="shared" si="0"/>
        <v>4</v>
      </c>
      <c r="K57" t="str">
        <f t="shared" si="1"/>
        <v>Home Win</v>
      </c>
    </row>
    <row r="58" spans="1:11" x14ac:dyDescent="0.35">
      <c r="A58">
        <v>57</v>
      </c>
      <c r="B58">
        <v>1950</v>
      </c>
      <c r="C58" s="1">
        <v>18439</v>
      </c>
      <c r="D58" t="s">
        <v>61</v>
      </c>
      <c r="E58" t="s">
        <v>17</v>
      </c>
      <c r="F58">
        <v>3</v>
      </c>
      <c r="G58">
        <v>2</v>
      </c>
      <c r="H58" t="s">
        <v>11</v>
      </c>
      <c r="I58" t="b">
        <v>0</v>
      </c>
      <c r="J58">
        <f t="shared" si="0"/>
        <v>5</v>
      </c>
      <c r="K58" t="str">
        <f t="shared" si="1"/>
        <v>Home Win</v>
      </c>
    </row>
    <row r="59" spans="1:11" x14ac:dyDescent="0.35">
      <c r="A59">
        <v>58</v>
      </c>
      <c r="B59">
        <v>1950</v>
      </c>
      <c r="C59" s="1">
        <v>18439</v>
      </c>
      <c r="D59" t="s">
        <v>61</v>
      </c>
      <c r="E59" t="s">
        <v>47</v>
      </c>
      <c r="F59">
        <v>3</v>
      </c>
      <c r="G59">
        <v>0</v>
      </c>
      <c r="H59" t="s">
        <v>18</v>
      </c>
      <c r="I59" t="b">
        <v>0</v>
      </c>
      <c r="J59">
        <f t="shared" si="0"/>
        <v>3</v>
      </c>
      <c r="K59" t="str">
        <f t="shared" si="1"/>
        <v>Home Win</v>
      </c>
    </row>
    <row r="60" spans="1:11" x14ac:dyDescent="0.35">
      <c r="A60">
        <v>59</v>
      </c>
      <c r="B60">
        <v>1950</v>
      </c>
      <c r="C60" s="1">
        <v>18442</v>
      </c>
      <c r="D60" t="s">
        <v>61</v>
      </c>
      <c r="E60" t="s">
        <v>16</v>
      </c>
      <c r="F60">
        <v>2</v>
      </c>
      <c r="G60">
        <v>2</v>
      </c>
      <c r="H60" t="s">
        <v>18</v>
      </c>
      <c r="I60" t="b">
        <v>1</v>
      </c>
      <c r="J60">
        <f t="shared" si="0"/>
        <v>4</v>
      </c>
      <c r="K60" t="str">
        <f t="shared" si="1"/>
        <v>Draw</v>
      </c>
    </row>
    <row r="61" spans="1:11" x14ac:dyDescent="0.35">
      <c r="A61">
        <v>60</v>
      </c>
      <c r="B61">
        <v>1950</v>
      </c>
      <c r="C61" s="1">
        <v>18442</v>
      </c>
      <c r="D61" t="s">
        <v>61</v>
      </c>
      <c r="E61" t="s">
        <v>47</v>
      </c>
      <c r="F61">
        <v>4</v>
      </c>
      <c r="G61">
        <v>1</v>
      </c>
      <c r="H61" t="s">
        <v>24</v>
      </c>
      <c r="I61" t="b">
        <v>0</v>
      </c>
      <c r="J61">
        <f t="shared" si="0"/>
        <v>5</v>
      </c>
      <c r="K61" t="str">
        <f t="shared" si="1"/>
        <v>Home Win</v>
      </c>
    </row>
    <row r="62" spans="1:11" x14ac:dyDescent="0.35">
      <c r="A62">
        <v>61</v>
      </c>
      <c r="B62">
        <v>1950</v>
      </c>
      <c r="C62" s="1">
        <v>18443</v>
      </c>
      <c r="D62" t="s">
        <v>61</v>
      </c>
      <c r="E62" t="s">
        <v>27</v>
      </c>
      <c r="F62">
        <v>2</v>
      </c>
      <c r="G62">
        <v>0</v>
      </c>
      <c r="H62" t="s">
        <v>21</v>
      </c>
      <c r="I62" t="b">
        <v>0</v>
      </c>
      <c r="J62">
        <f t="shared" si="0"/>
        <v>2</v>
      </c>
      <c r="K62" t="str">
        <f t="shared" si="1"/>
        <v>Home Win</v>
      </c>
    </row>
    <row r="63" spans="1:11" x14ac:dyDescent="0.35">
      <c r="A63">
        <v>62</v>
      </c>
      <c r="B63">
        <v>1950</v>
      </c>
      <c r="C63" s="1">
        <v>18443</v>
      </c>
      <c r="D63" t="s">
        <v>61</v>
      </c>
      <c r="E63" t="s">
        <v>46</v>
      </c>
      <c r="F63">
        <v>1</v>
      </c>
      <c r="G63">
        <v>0</v>
      </c>
      <c r="H63" t="s">
        <v>22</v>
      </c>
      <c r="I63" t="b">
        <v>0</v>
      </c>
      <c r="J63">
        <f t="shared" si="0"/>
        <v>1</v>
      </c>
      <c r="K63" t="str">
        <f t="shared" si="1"/>
        <v>Home Win</v>
      </c>
    </row>
    <row r="64" spans="1:11" x14ac:dyDescent="0.35">
      <c r="A64">
        <v>63</v>
      </c>
      <c r="B64">
        <v>1950</v>
      </c>
      <c r="C64" s="1">
        <v>18443</v>
      </c>
      <c r="D64" t="s">
        <v>61</v>
      </c>
      <c r="E64" t="s">
        <v>17</v>
      </c>
      <c r="F64">
        <v>2</v>
      </c>
      <c r="G64">
        <v>2</v>
      </c>
      <c r="H64" t="s">
        <v>51</v>
      </c>
      <c r="I64" t="b">
        <v>0</v>
      </c>
      <c r="J64">
        <f t="shared" si="0"/>
        <v>4</v>
      </c>
      <c r="K64" t="str">
        <f t="shared" si="1"/>
        <v>Draw</v>
      </c>
    </row>
    <row r="65" spans="1:11" x14ac:dyDescent="0.35">
      <c r="A65">
        <v>64</v>
      </c>
      <c r="B65">
        <v>1950</v>
      </c>
      <c r="C65" s="1">
        <v>18445</v>
      </c>
      <c r="D65" t="s">
        <v>61</v>
      </c>
      <c r="E65" t="s">
        <v>16</v>
      </c>
      <c r="F65">
        <v>2</v>
      </c>
      <c r="G65">
        <v>0</v>
      </c>
      <c r="H65" t="s">
        <v>47</v>
      </c>
      <c r="I65" t="b">
        <v>1</v>
      </c>
      <c r="J65">
        <f t="shared" si="0"/>
        <v>2</v>
      </c>
      <c r="K65" t="str">
        <f t="shared" si="1"/>
        <v>Home Win</v>
      </c>
    </row>
    <row r="66" spans="1:11" x14ac:dyDescent="0.35">
      <c r="A66">
        <v>65</v>
      </c>
      <c r="B66">
        <v>1950</v>
      </c>
      <c r="C66" s="1">
        <v>18446</v>
      </c>
      <c r="D66" t="s">
        <v>61</v>
      </c>
      <c r="E66" t="s">
        <v>27</v>
      </c>
      <c r="F66">
        <v>1</v>
      </c>
      <c r="G66">
        <v>0</v>
      </c>
      <c r="H66" t="s">
        <v>22</v>
      </c>
      <c r="I66" t="b">
        <v>0</v>
      </c>
      <c r="J66">
        <f t="shared" si="0"/>
        <v>1</v>
      </c>
      <c r="K66" t="str">
        <f t="shared" si="1"/>
        <v>Home Win</v>
      </c>
    </row>
    <row r="67" spans="1:11" x14ac:dyDescent="0.35">
      <c r="A67">
        <v>66</v>
      </c>
      <c r="B67">
        <v>1950</v>
      </c>
      <c r="C67" s="1">
        <v>18446</v>
      </c>
      <c r="D67" t="s">
        <v>61</v>
      </c>
      <c r="E67" t="s">
        <v>11</v>
      </c>
      <c r="F67">
        <v>2</v>
      </c>
      <c r="G67">
        <v>0</v>
      </c>
      <c r="H67" t="s">
        <v>51</v>
      </c>
      <c r="I67" t="b">
        <v>0</v>
      </c>
      <c r="J67">
        <f t="shared" ref="J67:J130" si="2">F:F+G:G</f>
        <v>2</v>
      </c>
      <c r="K67" t="str">
        <f t="shared" ref="K67:K130" si="3">IF(F67&gt;G67,"Home Win",IF(F67&lt;G67,"Away Win","Draw"))</f>
        <v>Home Win</v>
      </c>
    </row>
    <row r="68" spans="1:11" x14ac:dyDescent="0.35">
      <c r="A68">
        <v>67</v>
      </c>
      <c r="B68">
        <v>1950</v>
      </c>
      <c r="C68" s="1">
        <v>18446</v>
      </c>
      <c r="D68" t="s">
        <v>61</v>
      </c>
      <c r="E68" t="s">
        <v>8</v>
      </c>
      <c r="F68">
        <v>8</v>
      </c>
      <c r="G68">
        <v>0</v>
      </c>
      <c r="H68" t="s">
        <v>50</v>
      </c>
      <c r="I68" t="b">
        <v>0</v>
      </c>
      <c r="J68">
        <f t="shared" si="2"/>
        <v>8</v>
      </c>
      <c r="K68" t="str">
        <f t="shared" si="3"/>
        <v>Home Win</v>
      </c>
    </row>
    <row r="69" spans="1:11" x14ac:dyDescent="0.35">
      <c r="A69">
        <v>68</v>
      </c>
      <c r="B69">
        <v>1950</v>
      </c>
      <c r="C69" s="1">
        <v>18446</v>
      </c>
      <c r="D69" t="s">
        <v>61</v>
      </c>
      <c r="E69" t="s">
        <v>21</v>
      </c>
      <c r="F69">
        <v>5</v>
      </c>
      <c r="G69">
        <v>2</v>
      </c>
      <c r="H69" t="s">
        <v>46</v>
      </c>
      <c r="I69" t="b">
        <v>0</v>
      </c>
      <c r="J69">
        <f t="shared" si="2"/>
        <v>7</v>
      </c>
      <c r="K69" t="str">
        <f t="shared" si="3"/>
        <v>Home Win</v>
      </c>
    </row>
    <row r="70" spans="1:11" x14ac:dyDescent="0.35">
      <c r="A70">
        <v>69</v>
      </c>
      <c r="B70">
        <v>1950</v>
      </c>
      <c r="C70" s="1">
        <v>18446</v>
      </c>
      <c r="D70" t="s">
        <v>61</v>
      </c>
      <c r="E70" t="s">
        <v>18</v>
      </c>
      <c r="F70">
        <v>2</v>
      </c>
      <c r="G70">
        <v>1</v>
      </c>
      <c r="H70" t="s">
        <v>24</v>
      </c>
      <c r="I70" t="b">
        <v>0</v>
      </c>
      <c r="J70">
        <f t="shared" si="2"/>
        <v>3</v>
      </c>
      <c r="K70" t="str">
        <f t="shared" si="3"/>
        <v>Home Win</v>
      </c>
    </row>
    <row r="71" spans="1:11" x14ac:dyDescent="0.35">
      <c r="A71">
        <v>70</v>
      </c>
      <c r="B71">
        <v>1950</v>
      </c>
      <c r="C71" s="1">
        <v>18453</v>
      </c>
      <c r="D71" t="s">
        <v>62</v>
      </c>
      <c r="E71" t="s">
        <v>8</v>
      </c>
      <c r="F71">
        <v>2</v>
      </c>
      <c r="G71">
        <v>2</v>
      </c>
      <c r="H71" t="s">
        <v>27</v>
      </c>
      <c r="I71" t="b">
        <v>0</v>
      </c>
      <c r="J71">
        <f t="shared" si="2"/>
        <v>4</v>
      </c>
      <c r="K71" t="str">
        <f t="shared" si="3"/>
        <v>Draw</v>
      </c>
    </row>
    <row r="72" spans="1:11" x14ac:dyDescent="0.35">
      <c r="A72">
        <v>71</v>
      </c>
      <c r="B72">
        <v>1950</v>
      </c>
      <c r="C72" s="1">
        <v>18453</v>
      </c>
      <c r="D72" t="s">
        <v>62</v>
      </c>
      <c r="E72" t="s">
        <v>16</v>
      </c>
      <c r="F72">
        <v>7</v>
      </c>
      <c r="G72">
        <v>1</v>
      </c>
      <c r="H72" t="s">
        <v>17</v>
      </c>
      <c r="I72" t="b">
        <v>1</v>
      </c>
      <c r="J72">
        <f t="shared" si="2"/>
        <v>8</v>
      </c>
      <c r="K72" t="str">
        <f t="shared" si="3"/>
        <v>Home Win</v>
      </c>
    </row>
    <row r="73" spans="1:11" x14ac:dyDescent="0.35">
      <c r="A73">
        <v>72</v>
      </c>
      <c r="B73">
        <v>1950</v>
      </c>
      <c r="C73" s="1">
        <v>18457</v>
      </c>
      <c r="D73" t="s">
        <v>62</v>
      </c>
      <c r="E73" t="s">
        <v>16</v>
      </c>
      <c r="F73">
        <v>6</v>
      </c>
      <c r="G73">
        <v>1</v>
      </c>
      <c r="H73" t="s">
        <v>27</v>
      </c>
      <c r="I73" t="b">
        <v>1</v>
      </c>
      <c r="J73">
        <f t="shared" si="2"/>
        <v>7</v>
      </c>
      <c r="K73" t="str">
        <f t="shared" si="3"/>
        <v>Home Win</v>
      </c>
    </row>
    <row r="74" spans="1:11" x14ac:dyDescent="0.35">
      <c r="A74">
        <v>73</v>
      </c>
      <c r="B74">
        <v>1950</v>
      </c>
      <c r="C74" s="1">
        <v>18457</v>
      </c>
      <c r="D74" t="s">
        <v>62</v>
      </c>
      <c r="E74" t="s">
        <v>8</v>
      </c>
      <c r="F74">
        <v>3</v>
      </c>
      <c r="G74">
        <v>2</v>
      </c>
      <c r="H74" t="s">
        <v>17</v>
      </c>
      <c r="I74" t="b">
        <v>0</v>
      </c>
      <c r="J74">
        <f t="shared" si="2"/>
        <v>5</v>
      </c>
      <c r="K74" t="str">
        <f t="shared" si="3"/>
        <v>Home Win</v>
      </c>
    </row>
    <row r="75" spans="1:11" x14ac:dyDescent="0.35">
      <c r="A75">
        <v>74</v>
      </c>
      <c r="B75">
        <v>1950</v>
      </c>
      <c r="C75" s="1">
        <v>18460</v>
      </c>
      <c r="D75" t="s">
        <v>62</v>
      </c>
      <c r="E75" t="s">
        <v>17</v>
      </c>
      <c r="F75">
        <v>3</v>
      </c>
      <c r="G75">
        <v>1</v>
      </c>
      <c r="H75" t="s">
        <v>27</v>
      </c>
      <c r="I75" t="b">
        <v>0</v>
      </c>
      <c r="J75">
        <f t="shared" si="2"/>
        <v>4</v>
      </c>
      <c r="K75" t="str">
        <f t="shared" si="3"/>
        <v>Home Win</v>
      </c>
    </row>
    <row r="76" spans="1:11" x14ac:dyDescent="0.35">
      <c r="A76">
        <v>75</v>
      </c>
      <c r="B76">
        <v>1950</v>
      </c>
      <c r="C76" s="1">
        <v>18460</v>
      </c>
      <c r="D76" t="s">
        <v>62</v>
      </c>
      <c r="E76" t="s">
        <v>8</v>
      </c>
      <c r="F76">
        <v>2</v>
      </c>
      <c r="G76">
        <v>1</v>
      </c>
      <c r="H76" t="s">
        <v>16</v>
      </c>
      <c r="I76" t="b">
        <v>1</v>
      </c>
      <c r="J76">
        <f t="shared" si="2"/>
        <v>3</v>
      </c>
      <c r="K76" t="str">
        <f t="shared" si="3"/>
        <v>Home Win</v>
      </c>
    </row>
    <row r="77" spans="1:11" x14ac:dyDescent="0.35">
      <c r="A77">
        <v>76</v>
      </c>
      <c r="B77">
        <v>1954</v>
      </c>
      <c r="C77" s="1">
        <v>19891</v>
      </c>
      <c r="D77" t="s">
        <v>45</v>
      </c>
      <c r="E77" t="s">
        <v>8</v>
      </c>
      <c r="F77">
        <v>2</v>
      </c>
      <c r="G77">
        <v>0</v>
      </c>
      <c r="H77" t="s">
        <v>12</v>
      </c>
      <c r="I77" t="b">
        <v>0</v>
      </c>
      <c r="J77">
        <f t="shared" si="2"/>
        <v>2</v>
      </c>
      <c r="K77" t="str">
        <f t="shared" si="3"/>
        <v>Home Win</v>
      </c>
    </row>
    <row r="78" spans="1:11" x14ac:dyDescent="0.35">
      <c r="A78">
        <v>77</v>
      </c>
      <c r="B78">
        <v>1954</v>
      </c>
      <c r="C78" s="1">
        <v>19891</v>
      </c>
      <c r="D78" t="s">
        <v>45</v>
      </c>
      <c r="E78" t="s">
        <v>20</v>
      </c>
      <c r="F78">
        <v>1</v>
      </c>
      <c r="G78">
        <v>0</v>
      </c>
      <c r="H78" t="s">
        <v>63</v>
      </c>
      <c r="I78" t="b">
        <v>0</v>
      </c>
      <c r="J78">
        <f t="shared" si="2"/>
        <v>1</v>
      </c>
      <c r="K78" t="str">
        <f t="shared" si="3"/>
        <v>Home Win</v>
      </c>
    </row>
    <row r="79" spans="1:11" x14ac:dyDescent="0.35">
      <c r="A79">
        <v>78</v>
      </c>
      <c r="B79">
        <v>1954</v>
      </c>
      <c r="C79" s="1">
        <v>19891</v>
      </c>
      <c r="D79" t="s">
        <v>45</v>
      </c>
      <c r="E79" t="s">
        <v>16</v>
      </c>
      <c r="F79">
        <v>5</v>
      </c>
      <c r="G79">
        <v>0</v>
      </c>
      <c r="H79" t="s">
        <v>24</v>
      </c>
      <c r="I79" t="b">
        <v>0</v>
      </c>
      <c r="J79">
        <f t="shared" si="2"/>
        <v>5</v>
      </c>
      <c r="K79" t="str">
        <f t="shared" si="3"/>
        <v>Home Win</v>
      </c>
    </row>
    <row r="80" spans="1:11" x14ac:dyDescent="0.35">
      <c r="A80">
        <v>79</v>
      </c>
      <c r="B80">
        <v>1954</v>
      </c>
      <c r="C80" s="1">
        <v>19891</v>
      </c>
      <c r="D80" t="s">
        <v>45</v>
      </c>
      <c r="E80" t="s">
        <v>47</v>
      </c>
      <c r="F80">
        <v>1</v>
      </c>
      <c r="G80">
        <v>0</v>
      </c>
      <c r="H80" t="s">
        <v>14</v>
      </c>
      <c r="I80" t="b">
        <v>0</v>
      </c>
      <c r="J80">
        <f t="shared" si="2"/>
        <v>1</v>
      </c>
      <c r="K80" t="str">
        <f t="shared" si="3"/>
        <v>Home Win</v>
      </c>
    </row>
    <row r="81" spans="1:11" x14ac:dyDescent="0.35">
      <c r="A81">
        <v>80</v>
      </c>
      <c r="B81">
        <v>1954</v>
      </c>
      <c r="C81" s="1">
        <v>19892</v>
      </c>
      <c r="D81" t="s">
        <v>45</v>
      </c>
      <c r="E81" t="s">
        <v>18</v>
      </c>
      <c r="F81">
        <v>2</v>
      </c>
      <c r="G81">
        <v>1</v>
      </c>
      <c r="H81" t="s">
        <v>11</v>
      </c>
      <c r="I81" t="b">
        <v>1</v>
      </c>
      <c r="J81">
        <f t="shared" si="2"/>
        <v>3</v>
      </c>
      <c r="K81" t="str">
        <f t="shared" si="3"/>
        <v>Home Win</v>
      </c>
    </row>
    <row r="82" spans="1:11" x14ac:dyDescent="0.35">
      <c r="A82">
        <v>81</v>
      </c>
      <c r="B82">
        <v>1954</v>
      </c>
      <c r="C82" s="1">
        <v>19892</v>
      </c>
      <c r="D82" t="s">
        <v>45</v>
      </c>
      <c r="E82" t="s">
        <v>13</v>
      </c>
      <c r="F82">
        <v>4</v>
      </c>
      <c r="G82">
        <v>1</v>
      </c>
      <c r="H82" t="s">
        <v>30</v>
      </c>
      <c r="I82" t="b">
        <v>0</v>
      </c>
      <c r="J82">
        <f t="shared" si="2"/>
        <v>5</v>
      </c>
      <c r="K82" t="str">
        <f t="shared" si="3"/>
        <v>Home Win</v>
      </c>
    </row>
    <row r="83" spans="1:11" x14ac:dyDescent="0.35">
      <c r="A83">
        <v>82</v>
      </c>
      <c r="B83">
        <v>1954</v>
      </c>
      <c r="C83" s="1">
        <v>19892</v>
      </c>
      <c r="D83" t="s">
        <v>45</v>
      </c>
      <c r="E83" t="s">
        <v>15</v>
      </c>
      <c r="F83">
        <v>9</v>
      </c>
      <c r="G83">
        <v>0</v>
      </c>
      <c r="H83" t="s">
        <v>64</v>
      </c>
      <c r="I83" t="b">
        <v>0</v>
      </c>
      <c r="J83">
        <f t="shared" si="2"/>
        <v>9</v>
      </c>
      <c r="K83" t="str">
        <f t="shared" si="3"/>
        <v>Home Win</v>
      </c>
    </row>
    <row r="84" spans="1:11" x14ac:dyDescent="0.35">
      <c r="A84">
        <v>83</v>
      </c>
      <c r="B84">
        <v>1954</v>
      </c>
      <c r="C84" s="1">
        <v>19892</v>
      </c>
      <c r="D84" t="s">
        <v>45</v>
      </c>
      <c r="E84" t="s">
        <v>22</v>
      </c>
      <c r="F84">
        <v>4</v>
      </c>
      <c r="G84">
        <v>4</v>
      </c>
      <c r="H84" t="s">
        <v>33</v>
      </c>
      <c r="I84" t="b">
        <v>0</v>
      </c>
      <c r="J84">
        <f t="shared" si="2"/>
        <v>8</v>
      </c>
      <c r="K84" t="str">
        <f t="shared" si="3"/>
        <v>Draw</v>
      </c>
    </row>
    <row r="85" spans="1:11" x14ac:dyDescent="0.35">
      <c r="A85">
        <v>84</v>
      </c>
      <c r="B85">
        <v>1954</v>
      </c>
      <c r="C85" s="1">
        <v>19894</v>
      </c>
      <c r="D85" t="s">
        <v>45</v>
      </c>
      <c r="E85" t="s">
        <v>8</v>
      </c>
      <c r="F85">
        <v>7</v>
      </c>
      <c r="G85">
        <v>0</v>
      </c>
      <c r="H85" t="s">
        <v>63</v>
      </c>
      <c r="I85" t="b">
        <v>0</v>
      </c>
      <c r="J85">
        <f t="shared" si="2"/>
        <v>7</v>
      </c>
      <c r="K85" t="str">
        <f t="shared" si="3"/>
        <v>Home Win</v>
      </c>
    </row>
    <row r="86" spans="1:11" x14ac:dyDescent="0.35">
      <c r="A86">
        <v>85</v>
      </c>
      <c r="B86">
        <v>1954</v>
      </c>
      <c r="C86" s="1">
        <v>19894</v>
      </c>
      <c r="D86" t="s">
        <v>45</v>
      </c>
      <c r="E86" t="s">
        <v>20</v>
      </c>
      <c r="F86">
        <v>5</v>
      </c>
      <c r="G86">
        <v>0</v>
      </c>
      <c r="H86" t="s">
        <v>12</v>
      </c>
      <c r="I86" t="b">
        <v>0</v>
      </c>
      <c r="J86">
        <f t="shared" si="2"/>
        <v>5</v>
      </c>
      <c r="K86" t="str">
        <f t="shared" si="3"/>
        <v>Home Win</v>
      </c>
    </row>
    <row r="87" spans="1:11" x14ac:dyDescent="0.35">
      <c r="A87">
        <v>86</v>
      </c>
      <c r="B87">
        <v>1954</v>
      </c>
      <c r="C87" s="1">
        <v>19894</v>
      </c>
      <c r="D87" t="s">
        <v>45</v>
      </c>
      <c r="E87" t="s">
        <v>16</v>
      </c>
      <c r="F87">
        <v>1</v>
      </c>
      <c r="G87">
        <v>1</v>
      </c>
      <c r="H87" t="s">
        <v>47</v>
      </c>
      <c r="I87" t="b">
        <v>0</v>
      </c>
      <c r="J87">
        <f t="shared" si="2"/>
        <v>2</v>
      </c>
      <c r="K87" t="str">
        <f t="shared" si="3"/>
        <v>Draw</v>
      </c>
    </row>
    <row r="88" spans="1:11" x14ac:dyDescent="0.35">
      <c r="A88">
        <v>87</v>
      </c>
      <c r="B88">
        <v>1954</v>
      </c>
      <c r="C88" s="1">
        <v>19894</v>
      </c>
      <c r="D88" t="s">
        <v>45</v>
      </c>
      <c r="E88" t="s">
        <v>14</v>
      </c>
      <c r="F88">
        <v>3</v>
      </c>
      <c r="G88">
        <v>2</v>
      </c>
      <c r="H88" t="s">
        <v>24</v>
      </c>
      <c r="I88" t="b">
        <v>0</v>
      </c>
      <c r="J88">
        <f t="shared" si="2"/>
        <v>5</v>
      </c>
      <c r="K88" t="str">
        <f t="shared" si="3"/>
        <v>Home Win</v>
      </c>
    </row>
    <row r="89" spans="1:11" x14ac:dyDescent="0.35">
      <c r="A89">
        <v>88</v>
      </c>
      <c r="B89">
        <v>1954</v>
      </c>
      <c r="C89" s="1">
        <v>19895</v>
      </c>
      <c r="D89" t="s">
        <v>45</v>
      </c>
      <c r="E89" t="s">
        <v>15</v>
      </c>
      <c r="F89">
        <v>8</v>
      </c>
      <c r="G89">
        <v>3</v>
      </c>
      <c r="H89" t="s">
        <v>13</v>
      </c>
      <c r="I89" t="b">
        <v>0</v>
      </c>
      <c r="J89">
        <f t="shared" si="2"/>
        <v>11</v>
      </c>
      <c r="K89" t="str">
        <f t="shared" si="3"/>
        <v>Home Win</v>
      </c>
    </row>
    <row r="90" spans="1:11" x14ac:dyDescent="0.35">
      <c r="A90">
        <v>89</v>
      </c>
      <c r="B90">
        <v>1954</v>
      </c>
      <c r="C90" s="1">
        <v>19895</v>
      </c>
      <c r="D90" t="s">
        <v>45</v>
      </c>
      <c r="E90" t="s">
        <v>30</v>
      </c>
      <c r="F90">
        <v>7</v>
      </c>
      <c r="G90">
        <v>0</v>
      </c>
      <c r="H90" t="s">
        <v>64</v>
      </c>
      <c r="I90" t="b">
        <v>0</v>
      </c>
      <c r="J90">
        <f t="shared" si="2"/>
        <v>7</v>
      </c>
      <c r="K90" t="str">
        <f t="shared" si="3"/>
        <v>Home Win</v>
      </c>
    </row>
    <row r="91" spans="1:11" x14ac:dyDescent="0.35">
      <c r="A91">
        <v>90</v>
      </c>
      <c r="B91">
        <v>1954</v>
      </c>
      <c r="C91" s="1">
        <v>19895</v>
      </c>
      <c r="D91" t="s">
        <v>45</v>
      </c>
      <c r="E91" t="s">
        <v>11</v>
      </c>
      <c r="F91">
        <v>4</v>
      </c>
      <c r="G91">
        <v>1</v>
      </c>
      <c r="H91" t="s">
        <v>33</v>
      </c>
      <c r="I91" t="b">
        <v>0</v>
      </c>
      <c r="J91">
        <f t="shared" si="2"/>
        <v>5</v>
      </c>
      <c r="K91" t="str">
        <f t="shared" si="3"/>
        <v>Home Win</v>
      </c>
    </row>
    <row r="92" spans="1:11" x14ac:dyDescent="0.35">
      <c r="A92">
        <v>91</v>
      </c>
      <c r="B92">
        <v>1954</v>
      </c>
      <c r="C92" s="1">
        <v>19895</v>
      </c>
      <c r="D92" t="s">
        <v>45</v>
      </c>
      <c r="E92" t="s">
        <v>18</v>
      </c>
      <c r="F92">
        <v>0</v>
      </c>
      <c r="G92">
        <v>2</v>
      </c>
      <c r="H92" t="s">
        <v>22</v>
      </c>
      <c r="I92" t="b">
        <v>1</v>
      </c>
      <c r="J92">
        <f t="shared" si="2"/>
        <v>2</v>
      </c>
      <c r="K92" t="str">
        <f t="shared" si="3"/>
        <v>Away Win</v>
      </c>
    </row>
    <row r="93" spans="1:11" x14ac:dyDescent="0.35">
      <c r="A93">
        <v>92</v>
      </c>
      <c r="B93">
        <v>1954</v>
      </c>
      <c r="C93" s="1">
        <v>19898</v>
      </c>
      <c r="D93" t="s">
        <v>45</v>
      </c>
      <c r="E93" t="s">
        <v>13</v>
      </c>
      <c r="F93">
        <v>7</v>
      </c>
      <c r="G93">
        <v>2</v>
      </c>
      <c r="H93" t="s">
        <v>30</v>
      </c>
      <c r="I93" t="b">
        <v>0</v>
      </c>
      <c r="J93">
        <f t="shared" si="2"/>
        <v>9</v>
      </c>
      <c r="K93" t="str">
        <f t="shared" si="3"/>
        <v>Home Win</v>
      </c>
    </row>
    <row r="94" spans="1:11" x14ac:dyDescent="0.35">
      <c r="A94">
        <v>93</v>
      </c>
      <c r="B94">
        <v>1954</v>
      </c>
      <c r="C94" s="1">
        <v>19898</v>
      </c>
      <c r="D94" t="s">
        <v>45</v>
      </c>
      <c r="E94" t="s">
        <v>18</v>
      </c>
      <c r="F94">
        <v>4</v>
      </c>
      <c r="G94">
        <v>1</v>
      </c>
      <c r="H94" t="s">
        <v>11</v>
      </c>
      <c r="I94" t="b">
        <v>1</v>
      </c>
      <c r="J94">
        <f t="shared" si="2"/>
        <v>5</v>
      </c>
      <c r="K94" t="str">
        <f t="shared" si="3"/>
        <v>Home Win</v>
      </c>
    </row>
    <row r="95" spans="1:11" x14ac:dyDescent="0.35">
      <c r="A95">
        <v>94</v>
      </c>
      <c r="B95">
        <v>1954</v>
      </c>
      <c r="C95" s="1">
        <v>19901</v>
      </c>
      <c r="D95" t="s">
        <v>56</v>
      </c>
      <c r="E95" t="s">
        <v>8</v>
      </c>
      <c r="F95">
        <v>4</v>
      </c>
      <c r="G95">
        <v>2</v>
      </c>
      <c r="H95" t="s">
        <v>22</v>
      </c>
      <c r="I95" t="b">
        <v>0</v>
      </c>
      <c r="J95">
        <f t="shared" si="2"/>
        <v>6</v>
      </c>
      <c r="K95" t="str">
        <f t="shared" si="3"/>
        <v>Home Win</v>
      </c>
    </row>
    <row r="96" spans="1:11" x14ac:dyDescent="0.35">
      <c r="A96">
        <v>95</v>
      </c>
      <c r="B96">
        <v>1954</v>
      </c>
      <c r="C96" s="1">
        <v>19901</v>
      </c>
      <c r="D96" t="s">
        <v>56</v>
      </c>
      <c r="E96" t="s">
        <v>18</v>
      </c>
      <c r="F96">
        <v>5</v>
      </c>
      <c r="G96">
        <v>7</v>
      </c>
      <c r="H96" t="s">
        <v>20</v>
      </c>
      <c r="I96" t="b">
        <v>1</v>
      </c>
      <c r="J96">
        <f t="shared" si="2"/>
        <v>12</v>
      </c>
      <c r="K96" t="str">
        <f t="shared" si="3"/>
        <v>Away Win</v>
      </c>
    </row>
    <row r="97" spans="1:11" x14ac:dyDescent="0.35">
      <c r="A97">
        <v>96</v>
      </c>
      <c r="B97">
        <v>1954</v>
      </c>
      <c r="C97" s="1">
        <v>19902</v>
      </c>
      <c r="D97" t="s">
        <v>56</v>
      </c>
      <c r="E97" t="s">
        <v>13</v>
      </c>
      <c r="F97">
        <v>2</v>
      </c>
      <c r="G97">
        <v>0</v>
      </c>
      <c r="H97" t="s">
        <v>47</v>
      </c>
      <c r="I97" t="b">
        <v>0</v>
      </c>
      <c r="J97">
        <f t="shared" si="2"/>
        <v>2</v>
      </c>
      <c r="K97" t="str">
        <f t="shared" si="3"/>
        <v>Home Win</v>
      </c>
    </row>
    <row r="98" spans="1:11" x14ac:dyDescent="0.35">
      <c r="A98">
        <v>97</v>
      </c>
      <c r="B98">
        <v>1954</v>
      </c>
      <c r="C98" s="1">
        <v>19902</v>
      </c>
      <c r="D98" t="s">
        <v>56</v>
      </c>
      <c r="E98" t="s">
        <v>15</v>
      </c>
      <c r="F98">
        <v>4</v>
      </c>
      <c r="G98">
        <v>2</v>
      </c>
      <c r="H98" t="s">
        <v>16</v>
      </c>
      <c r="I98" t="b">
        <v>0</v>
      </c>
      <c r="J98">
        <f t="shared" si="2"/>
        <v>6</v>
      </c>
      <c r="K98" t="str">
        <f t="shared" si="3"/>
        <v>Home Win</v>
      </c>
    </row>
    <row r="99" spans="1:11" x14ac:dyDescent="0.35">
      <c r="A99">
        <v>98</v>
      </c>
      <c r="B99">
        <v>1954</v>
      </c>
      <c r="C99" s="1">
        <v>19905</v>
      </c>
      <c r="D99" t="s">
        <v>52</v>
      </c>
      <c r="E99" t="s">
        <v>13</v>
      </c>
      <c r="F99">
        <v>6</v>
      </c>
      <c r="G99">
        <v>1</v>
      </c>
      <c r="H99" t="s">
        <v>20</v>
      </c>
      <c r="I99" t="b">
        <v>0</v>
      </c>
      <c r="J99">
        <f t="shared" si="2"/>
        <v>7</v>
      </c>
      <c r="K99" t="str">
        <f t="shared" si="3"/>
        <v>Home Win</v>
      </c>
    </row>
    <row r="100" spans="1:11" x14ac:dyDescent="0.35">
      <c r="A100">
        <v>99</v>
      </c>
      <c r="B100">
        <v>1954</v>
      </c>
      <c r="C100" s="1">
        <v>19905</v>
      </c>
      <c r="D100" t="s">
        <v>52</v>
      </c>
      <c r="E100" t="s">
        <v>15</v>
      </c>
      <c r="F100">
        <v>4</v>
      </c>
      <c r="G100">
        <v>2</v>
      </c>
      <c r="H100" t="s">
        <v>8</v>
      </c>
      <c r="I100" t="b">
        <v>0</v>
      </c>
      <c r="J100">
        <f t="shared" si="2"/>
        <v>6</v>
      </c>
      <c r="K100" t="str">
        <f t="shared" si="3"/>
        <v>Home Win</v>
      </c>
    </row>
    <row r="101" spans="1:11" x14ac:dyDescent="0.35">
      <c r="A101">
        <v>100</v>
      </c>
      <c r="B101">
        <v>1954</v>
      </c>
      <c r="C101" s="1">
        <v>19908</v>
      </c>
      <c r="D101" t="s">
        <v>57</v>
      </c>
      <c r="E101" t="s">
        <v>20</v>
      </c>
      <c r="F101">
        <v>3</v>
      </c>
      <c r="G101">
        <v>1</v>
      </c>
      <c r="H101" t="s">
        <v>8</v>
      </c>
      <c r="I101" t="b">
        <v>0</v>
      </c>
      <c r="J101">
        <f t="shared" si="2"/>
        <v>4</v>
      </c>
      <c r="K101" t="str">
        <f t="shared" si="3"/>
        <v>Home Win</v>
      </c>
    </row>
    <row r="102" spans="1:11" x14ac:dyDescent="0.35">
      <c r="A102">
        <v>101</v>
      </c>
      <c r="B102">
        <v>1954</v>
      </c>
      <c r="C102" s="1">
        <v>19909</v>
      </c>
      <c r="D102" t="s">
        <v>53</v>
      </c>
      <c r="E102" t="s">
        <v>13</v>
      </c>
      <c r="F102">
        <v>3</v>
      </c>
      <c r="G102">
        <v>2</v>
      </c>
      <c r="H102" t="s">
        <v>15</v>
      </c>
      <c r="I102" t="b">
        <v>0</v>
      </c>
      <c r="J102">
        <f t="shared" si="2"/>
        <v>5</v>
      </c>
      <c r="K102" t="str">
        <f t="shared" si="3"/>
        <v>Home Win</v>
      </c>
    </row>
    <row r="103" spans="1:11" x14ac:dyDescent="0.35">
      <c r="A103">
        <v>102</v>
      </c>
      <c r="B103">
        <v>1958</v>
      </c>
      <c r="C103" s="1">
        <v>21344</v>
      </c>
      <c r="D103" t="s">
        <v>45</v>
      </c>
      <c r="E103" t="s">
        <v>17</v>
      </c>
      <c r="F103">
        <v>3</v>
      </c>
      <c r="G103">
        <v>0</v>
      </c>
      <c r="H103" t="s">
        <v>24</v>
      </c>
      <c r="I103" t="b">
        <v>1</v>
      </c>
      <c r="J103">
        <f t="shared" si="2"/>
        <v>3</v>
      </c>
      <c r="K103" t="str">
        <f t="shared" si="3"/>
        <v>Home Win</v>
      </c>
    </row>
    <row r="104" spans="1:11" x14ac:dyDescent="0.35">
      <c r="A104">
        <v>103</v>
      </c>
      <c r="B104">
        <v>1958</v>
      </c>
      <c r="C104" s="1">
        <v>21344</v>
      </c>
      <c r="D104" t="s">
        <v>45</v>
      </c>
      <c r="E104" t="s">
        <v>32</v>
      </c>
      <c r="F104">
        <v>2</v>
      </c>
      <c r="G104">
        <v>2</v>
      </c>
      <c r="H104" t="s">
        <v>22</v>
      </c>
      <c r="I104" t="b">
        <v>0</v>
      </c>
      <c r="J104">
        <f t="shared" si="2"/>
        <v>4</v>
      </c>
      <c r="K104" t="str">
        <f t="shared" si="3"/>
        <v>Draw</v>
      </c>
    </row>
    <row r="105" spans="1:11" x14ac:dyDescent="0.35">
      <c r="A105">
        <v>104</v>
      </c>
      <c r="B105">
        <v>1958</v>
      </c>
      <c r="C105" s="1">
        <v>21344</v>
      </c>
      <c r="D105" t="s">
        <v>45</v>
      </c>
      <c r="E105" t="s">
        <v>9</v>
      </c>
      <c r="F105">
        <v>1</v>
      </c>
      <c r="G105">
        <v>3</v>
      </c>
      <c r="H105" t="s">
        <v>13</v>
      </c>
      <c r="I105" t="b">
        <v>0</v>
      </c>
      <c r="J105">
        <f t="shared" si="2"/>
        <v>4</v>
      </c>
      <c r="K105" t="str">
        <f t="shared" si="3"/>
        <v>Away Win</v>
      </c>
    </row>
    <row r="106" spans="1:11" x14ac:dyDescent="0.35">
      <c r="A106">
        <v>105</v>
      </c>
      <c r="B106">
        <v>1958</v>
      </c>
      <c r="C106" s="1">
        <v>21344</v>
      </c>
      <c r="D106" t="s">
        <v>45</v>
      </c>
      <c r="E106" t="s">
        <v>15</v>
      </c>
      <c r="F106">
        <v>1</v>
      </c>
      <c r="G106">
        <v>1</v>
      </c>
      <c r="H106" t="s">
        <v>65</v>
      </c>
      <c r="I106" t="b">
        <v>0</v>
      </c>
      <c r="J106">
        <f t="shared" si="2"/>
        <v>2</v>
      </c>
      <c r="K106" t="str">
        <f t="shared" si="3"/>
        <v>Draw</v>
      </c>
    </row>
    <row r="107" spans="1:11" x14ac:dyDescent="0.35">
      <c r="A107">
        <v>106</v>
      </c>
      <c r="B107">
        <v>1958</v>
      </c>
      <c r="C107" s="1">
        <v>21344</v>
      </c>
      <c r="D107" t="s">
        <v>45</v>
      </c>
      <c r="E107" t="s">
        <v>14</v>
      </c>
      <c r="F107">
        <v>7</v>
      </c>
      <c r="G107">
        <v>3</v>
      </c>
      <c r="H107" t="s">
        <v>51</v>
      </c>
      <c r="I107" t="b">
        <v>0</v>
      </c>
      <c r="J107">
        <f t="shared" si="2"/>
        <v>10</v>
      </c>
      <c r="K107" t="str">
        <f t="shared" si="3"/>
        <v>Home Win</v>
      </c>
    </row>
    <row r="108" spans="1:11" x14ac:dyDescent="0.35">
      <c r="A108">
        <v>107</v>
      </c>
      <c r="B108">
        <v>1958</v>
      </c>
      <c r="C108" s="1">
        <v>21344</v>
      </c>
      <c r="D108" t="s">
        <v>45</v>
      </c>
      <c r="E108" t="s">
        <v>47</v>
      </c>
      <c r="F108">
        <v>1</v>
      </c>
      <c r="G108">
        <v>1</v>
      </c>
      <c r="H108" t="s">
        <v>63</v>
      </c>
      <c r="I108" t="b">
        <v>0</v>
      </c>
      <c r="J108">
        <f t="shared" si="2"/>
        <v>2</v>
      </c>
      <c r="K108" t="str">
        <f t="shared" si="3"/>
        <v>Draw</v>
      </c>
    </row>
    <row r="109" spans="1:11" x14ac:dyDescent="0.35">
      <c r="A109">
        <v>108</v>
      </c>
      <c r="B109">
        <v>1958</v>
      </c>
      <c r="C109" s="1">
        <v>21344</v>
      </c>
      <c r="D109" t="s">
        <v>45</v>
      </c>
      <c r="E109" t="s">
        <v>16</v>
      </c>
      <c r="F109">
        <v>3</v>
      </c>
      <c r="G109">
        <v>0</v>
      </c>
      <c r="H109" t="s">
        <v>20</v>
      </c>
      <c r="I109" t="b">
        <v>0</v>
      </c>
      <c r="J109">
        <f t="shared" si="2"/>
        <v>3</v>
      </c>
      <c r="K109" t="str">
        <f t="shared" si="3"/>
        <v>Home Win</v>
      </c>
    </row>
    <row r="110" spans="1:11" x14ac:dyDescent="0.35">
      <c r="A110">
        <v>109</v>
      </c>
      <c r="B110">
        <v>1958</v>
      </c>
      <c r="C110" s="1">
        <v>21344</v>
      </c>
      <c r="D110" t="s">
        <v>45</v>
      </c>
      <c r="E110" t="s">
        <v>66</v>
      </c>
      <c r="F110">
        <v>1</v>
      </c>
      <c r="G110">
        <v>0</v>
      </c>
      <c r="H110" t="s">
        <v>12</v>
      </c>
      <c r="I110" t="b">
        <v>0</v>
      </c>
      <c r="J110">
        <f t="shared" si="2"/>
        <v>1</v>
      </c>
      <c r="K110" t="str">
        <f t="shared" si="3"/>
        <v>Home Win</v>
      </c>
    </row>
    <row r="111" spans="1:11" x14ac:dyDescent="0.35">
      <c r="A111">
        <v>110</v>
      </c>
      <c r="B111">
        <v>1958</v>
      </c>
      <c r="C111" s="1">
        <v>21347</v>
      </c>
      <c r="D111" t="s">
        <v>45</v>
      </c>
      <c r="E111" t="s">
        <v>16</v>
      </c>
      <c r="F111">
        <v>0</v>
      </c>
      <c r="G111">
        <v>0</v>
      </c>
      <c r="H111" t="s">
        <v>22</v>
      </c>
      <c r="I111" t="b">
        <v>0</v>
      </c>
      <c r="J111">
        <f t="shared" si="2"/>
        <v>0</v>
      </c>
      <c r="K111" t="str">
        <f t="shared" si="3"/>
        <v>Draw</v>
      </c>
    </row>
    <row r="112" spans="1:11" x14ac:dyDescent="0.35">
      <c r="A112">
        <v>111</v>
      </c>
      <c r="B112">
        <v>1958</v>
      </c>
      <c r="C112" s="1">
        <v>21347</v>
      </c>
      <c r="D112" t="s">
        <v>45</v>
      </c>
      <c r="E112" t="s">
        <v>24</v>
      </c>
      <c r="F112">
        <v>1</v>
      </c>
      <c r="G112">
        <v>1</v>
      </c>
      <c r="H112" t="s">
        <v>65</v>
      </c>
      <c r="I112" t="b">
        <v>0</v>
      </c>
      <c r="J112">
        <f t="shared" si="2"/>
        <v>2</v>
      </c>
      <c r="K112" t="str">
        <f t="shared" si="3"/>
        <v>Draw</v>
      </c>
    </row>
    <row r="113" spans="1:11" x14ac:dyDescent="0.35">
      <c r="A113">
        <v>112</v>
      </c>
      <c r="B113">
        <v>1958</v>
      </c>
      <c r="C113" s="1">
        <v>21347</v>
      </c>
      <c r="D113" t="s">
        <v>45</v>
      </c>
      <c r="E113" t="s">
        <v>51</v>
      </c>
      <c r="F113">
        <v>3</v>
      </c>
      <c r="G113">
        <v>2</v>
      </c>
      <c r="H113" t="s">
        <v>63</v>
      </c>
      <c r="I113" t="b">
        <v>0</v>
      </c>
      <c r="J113">
        <f t="shared" si="2"/>
        <v>5</v>
      </c>
      <c r="K113" t="str">
        <f t="shared" si="3"/>
        <v>Home Win</v>
      </c>
    </row>
    <row r="114" spans="1:11" x14ac:dyDescent="0.35">
      <c r="A114">
        <v>113</v>
      </c>
      <c r="B114">
        <v>1958</v>
      </c>
      <c r="C114" s="1">
        <v>21347</v>
      </c>
      <c r="D114" t="s">
        <v>45</v>
      </c>
      <c r="E114" t="s">
        <v>47</v>
      </c>
      <c r="F114">
        <v>3</v>
      </c>
      <c r="G114">
        <v>2</v>
      </c>
      <c r="H114" t="s">
        <v>14</v>
      </c>
      <c r="I114" t="b">
        <v>0</v>
      </c>
      <c r="J114">
        <f t="shared" si="2"/>
        <v>5</v>
      </c>
      <c r="K114" t="str">
        <f t="shared" si="3"/>
        <v>Home Win</v>
      </c>
    </row>
    <row r="115" spans="1:11" x14ac:dyDescent="0.35">
      <c r="A115">
        <v>114</v>
      </c>
      <c r="B115">
        <v>1958</v>
      </c>
      <c r="C115" s="1">
        <v>21347</v>
      </c>
      <c r="D115" t="s">
        <v>45</v>
      </c>
      <c r="E115" t="s">
        <v>32</v>
      </c>
      <c r="F115">
        <v>2</v>
      </c>
      <c r="G115">
        <v>0</v>
      </c>
      <c r="H115" t="s">
        <v>20</v>
      </c>
      <c r="I115" t="b">
        <v>0</v>
      </c>
      <c r="J115">
        <f t="shared" si="2"/>
        <v>2</v>
      </c>
      <c r="K115" t="str">
        <f t="shared" si="3"/>
        <v>Home Win</v>
      </c>
    </row>
    <row r="116" spans="1:11" x14ac:dyDescent="0.35">
      <c r="A116">
        <v>115</v>
      </c>
      <c r="B116">
        <v>1958</v>
      </c>
      <c r="C116" s="1">
        <v>21347</v>
      </c>
      <c r="D116" t="s">
        <v>45</v>
      </c>
      <c r="E116" t="s">
        <v>13</v>
      </c>
      <c r="F116">
        <v>2</v>
      </c>
      <c r="G116">
        <v>2</v>
      </c>
      <c r="H116" t="s">
        <v>12</v>
      </c>
      <c r="I116" t="b">
        <v>0</v>
      </c>
      <c r="J116">
        <f t="shared" si="2"/>
        <v>4</v>
      </c>
      <c r="K116" t="str">
        <f t="shared" si="3"/>
        <v>Draw</v>
      </c>
    </row>
    <row r="117" spans="1:11" x14ac:dyDescent="0.35">
      <c r="A117">
        <v>116</v>
      </c>
      <c r="B117">
        <v>1958</v>
      </c>
      <c r="C117" s="1">
        <v>21347</v>
      </c>
      <c r="D117" t="s">
        <v>45</v>
      </c>
      <c r="E117" t="s">
        <v>9</v>
      </c>
      <c r="F117">
        <v>3</v>
      </c>
      <c r="G117">
        <v>1</v>
      </c>
      <c r="H117" t="s">
        <v>66</v>
      </c>
      <c r="I117" t="b">
        <v>0</v>
      </c>
      <c r="J117">
        <f t="shared" si="2"/>
        <v>4</v>
      </c>
      <c r="K117" t="str">
        <f t="shared" si="3"/>
        <v>Home Win</v>
      </c>
    </row>
    <row r="118" spans="1:11" x14ac:dyDescent="0.35">
      <c r="A118">
        <v>117</v>
      </c>
      <c r="B118">
        <v>1958</v>
      </c>
      <c r="C118" s="1">
        <v>21348</v>
      </c>
      <c r="D118" t="s">
        <v>45</v>
      </c>
      <c r="E118" t="s">
        <v>17</v>
      </c>
      <c r="F118">
        <v>2</v>
      </c>
      <c r="G118">
        <v>1</v>
      </c>
      <c r="H118" t="s">
        <v>15</v>
      </c>
      <c r="I118" t="b">
        <v>1</v>
      </c>
      <c r="J118">
        <f t="shared" si="2"/>
        <v>3</v>
      </c>
      <c r="K118" t="str">
        <f t="shared" si="3"/>
        <v>Home Win</v>
      </c>
    </row>
    <row r="119" spans="1:11" x14ac:dyDescent="0.35">
      <c r="A119">
        <v>118</v>
      </c>
      <c r="B119">
        <v>1958</v>
      </c>
      <c r="C119" s="1">
        <v>21351</v>
      </c>
      <c r="D119" t="s">
        <v>45</v>
      </c>
      <c r="E119" t="s">
        <v>17</v>
      </c>
      <c r="F119">
        <v>0</v>
      </c>
      <c r="G119">
        <v>0</v>
      </c>
      <c r="H119" t="s">
        <v>65</v>
      </c>
      <c r="I119" t="b">
        <v>1</v>
      </c>
      <c r="J119">
        <f t="shared" si="2"/>
        <v>0</v>
      </c>
      <c r="K119" t="str">
        <f t="shared" si="3"/>
        <v>Draw</v>
      </c>
    </row>
    <row r="120" spans="1:11" x14ac:dyDescent="0.35">
      <c r="A120">
        <v>119</v>
      </c>
      <c r="B120">
        <v>1958</v>
      </c>
      <c r="C120" s="1">
        <v>21351</v>
      </c>
      <c r="D120" t="s">
        <v>45</v>
      </c>
      <c r="E120" t="s">
        <v>16</v>
      </c>
      <c r="F120">
        <v>2</v>
      </c>
      <c r="G120">
        <v>0</v>
      </c>
      <c r="H120" t="s">
        <v>32</v>
      </c>
      <c r="I120" t="b">
        <v>0</v>
      </c>
      <c r="J120">
        <f t="shared" si="2"/>
        <v>2</v>
      </c>
      <c r="K120" t="str">
        <f t="shared" si="3"/>
        <v>Home Win</v>
      </c>
    </row>
    <row r="121" spans="1:11" x14ac:dyDescent="0.35">
      <c r="A121">
        <v>120</v>
      </c>
      <c r="B121">
        <v>1958</v>
      </c>
      <c r="C121" s="1">
        <v>21351</v>
      </c>
      <c r="D121" t="s">
        <v>45</v>
      </c>
      <c r="E121" t="s">
        <v>13</v>
      </c>
      <c r="F121">
        <v>2</v>
      </c>
      <c r="G121">
        <v>2</v>
      </c>
      <c r="H121" t="s">
        <v>66</v>
      </c>
      <c r="I121" t="b">
        <v>0</v>
      </c>
      <c r="J121">
        <f t="shared" si="2"/>
        <v>4</v>
      </c>
      <c r="K121" t="str">
        <f t="shared" si="3"/>
        <v>Draw</v>
      </c>
    </row>
    <row r="122" spans="1:11" x14ac:dyDescent="0.35">
      <c r="A122">
        <v>121</v>
      </c>
      <c r="B122">
        <v>1958</v>
      </c>
      <c r="C122" s="1">
        <v>21351</v>
      </c>
      <c r="D122" t="s">
        <v>45</v>
      </c>
      <c r="E122" t="s">
        <v>15</v>
      </c>
      <c r="F122">
        <v>4</v>
      </c>
      <c r="G122">
        <v>0</v>
      </c>
      <c r="H122" t="s">
        <v>24</v>
      </c>
      <c r="I122" t="b">
        <v>0</v>
      </c>
      <c r="J122">
        <f t="shared" si="2"/>
        <v>4</v>
      </c>
      <c r="K122" t="str">
        <f t="shared" si="3"/>
        <v>Home Win</v>
      </c>
    </row>
    <row r="123" spans="1:11" x14ac:dyDescent="0.35">
      <c r="A123">
        <v>122</v>
      </c>
      <c r="B123">
        <v>1958</v>
      </c>
      <c r="C123" s="1">
        <v>21351</v>
      </c>
      <c r="D123" t="s">
        <v>45</v>
      </c>
      <c r="E123" t="s">
        <v>51</v>
      </c>
      <c r="F123">
        <v>3</v>
      </c>
      <c r="G123">
        <v>3</v>
      </c>
      <c r="H123" t="s">
        <v>47</v>
      </c>
      <c r="I123" t="b">
        <v>0</v>
      </c>
      <c r="J123">
        <f t="shared" si="2"/>
        <v>6</v>
      </c>
      <c r="K123" t="str">
        <f t="shared" si="3"/>
        <v>Draw</v>
      </c>
    </row>
    <row r="124" spans="1:11" x14ac:dyDescent="0.35">
      <c r="A124">
        <v>123</v>
      </c>
      <c r="B124">
        <v>1958</v>
      </c>
      <c r="C124" s="1">
        <v>21351</v>
      </c>
      <c r="D124" t="s">
        <v>45</v>
      </c>
      <c r="E124" t="s">
        <v>14</v>
      </c>
      <c r="F124">
        <v>2</v>
      </c>
      <c r="G124">
        <v>1</v>
      </c>
      <c r="H124" t="s">
        <v>63</v>
      </c>
      <c r="I124" t="b">
        <v>0</v>
      </c>
      <c r="J124">
        <f t="shared" si="2"/>
        <v>3</v>
      </c>
      <c r="K124" t="str">
        <f t="shared" si="3"/>
        <v>Home Win</v>
      </c>
    </row>
    <row r="125" spans="1:11" x14ac:dyDescent="0.35">
      <c r="A125">
        <v>124</v>
      </c>
      <c r="B125">
        <v>1958</v>
      </c>
      <c r="C125" s="1">
        <v>21351</v>
      </c>
      <c r="D125" t="s">
        <v>45</v>
      </c>
      <c r="E125" t="s">
        <v>22</v>
      </c>
      <c r="F125">
        <v>2</v>
      </c>
      <c r="G125">
        <v>2</v>
      </c>
      <c r="H125" t="s">
        <v>20</v>
      </c>
      <c r="I125" t="b">
        <v>0</v>
      </c>
      <c r="J125">
        <f t="shared" si="2"/>
        <v>4</v>
      </c>
      <c r="K125" t="str">
        <f t="shared" si="3"/>
        <v>Draw</v>
      </c>
    </row>
    <row r="126" spans="1:11" x14ac:dyDescent="0.35">
      <c r="A126">
        <v>125</v>
      </c>
      <c r="B126">
        <v>1958</v>
      </c>
      <c r="C126" s="1">
        <v>21351</v>
      </c>
      <c r="D126" t="s">
        <v>45</v>
      </c>
      <c r="E126" t="s">
        <v>12</v>
      </c>
      <c r="F126">
        <v>6</v>
      </c>
      <c r="G126">
        <v>1</v>
      </c>
      <c r="H126" t="s">
        <v>9</v>
      </c>
      <c r="I126" t="b">
        <v>0</v>
      </c>
      <c r="J126">
        <f t="shared" si="2"/>
        <v>7</v>
      </c>
      <c r="K126" t="str">
        <f t="shared" si="3"/>
        <v>Home Win</v>
      </c>
    </row>
    <row r="127" spans="1:11" x14ac:dyDescent="0.35">
      <c r="A127">
        <v>126</v>
      </c>
      <c r="B127">
        <v>1958</v>
      </c>
      <c r="C127" s="1">
        <v>21353</v>
      </c>
      <c r="D127" t="s">
        <v>45</v>
      </c>
      <c r="E127" t="s">
        <v>32</v>
      </c>
      <c r="F127">
        <v>1</v>
      </c>
      <c r="G127">
        <v>0</v>
      </c>
      <c r="H127" t="s">
        <v>22</v>
      </c>
      <c r="I127" t="b">
        <v>0</v>
      </c>
      <c r="J127">
        <f t="shared" si="2"/>
        <v>1</v>
      </c>
      <c r="K127" t="str">
        <f t="shared" si="3"/>
        <v>Home Win</v>
      </c>
    </row>
    <row r="128" spans="1:11" x14ac:dyDescent="0.35">
      <c r="A128">
        <v>127</v>
      </c>
      <c r="B128">
        <v>1958</v>
      </c>
      <c r="C128" s="1">
        <v>21353</v>
      </c>
      <c r="D128" t="s">
        <v>45</v>
      </c>
      <c r="E128" t="s">
        <v>66</v>
      </c>
      <c r="F128">
        <v>2</v>
      </c>
      <c r="G128">
        <v>1</v>
      </c>
      <c r="H128" t="s">
        <v>12</v>
      </c>
      <c r="I128" t="b">
        <v>0</v>
      </c>
      <c r="J128">
        <f t="shared" si="2"/>
        <v>3</v>
      </c>
      <c r="K128" t="str">
        <f t="shared" si="3"/>
        <v>Home Win</v>
      </c>
    </row>
    <row r="129" spans="1:11" x14ac:dyDescent="0.35">
      <c r="A129">
        <v>128</v>
      </c>
      <c r="B129">
        <v>1958</v>
      </c>
      <c r="C129" s="1">
        <v>21353</v>
      </c>
      <c r="D129" t="s">
        <v>45</v>
      </c>
      <c r="E129" t="s">
        <v>65</v>
      </c>
      <c r="F129">
        <v>2</v>
      </c>
      <c r="G129">
        <v>1</v>
      </c>
      <c r="H129" t="s">
        <v>15</v>
      </c>
      <c r="I129" t="b">
        <v>0</v>
      </c>
      <c r="J129">
        <f t="shared" si="2"/>
        <v>3</v>
      </c>
      <c r="K129" t="str">
        <f t="shared" si="3"/>
        <v>Home Win</v>
      </c>
    </row>
    <row r="130" spans="1:11" x14ac:dyDescent="0.35">
      <c r="A130">
        <v>129</v>
      </c>
      <c r="B130">
        <v>1958</v>
      </c>
      <c r="C130" s="1">
        <v>21355</v>
      </c>
      <c r="D130" t="s">
        <v>56</v>
      </c>
      <c r="E130" t="s">
        <v>16</v>
      </c>
      <c r="F130">
        <v>1</v>
      </c>
      <c r="G130">
        <v>0</v>
      </c>
      <c r="H130" t="s">
        <v>65</v>
      </c>
      <c r="I130" t="b">
        <v>0</v>
      </c>
      <c r="J130">
        <f t="shared" si="2"/>
        <v>1</v>
      </c>
      <c r="K130" t="str">
        <f t="shared" si="3"/>
        <v>Home Win</v>
      </c>
    </row>
    <row r="131" spans="1:11" x14ac:dyDescent="0.35">
      <c r="A131">
        <v>130</v>
      </c>
      <c r="B131">
        <v>1958</v>
      </c>
      <c r="C131" s="1">
        <v>21355</v>
      </c>
      <c r="D131" t="s">
        <v>56</v>
      </c>
      <c r="E131" t="s">
        <v>13</v>
      </c>
      <c r="F131">
        <v>1</v>
      </c>
      <c r="G131">
        <v>0</v>
      </c>
      <c r="H131" t="s">
        <v>47</v>
      </c>
      <c r="I131" t="b">
        <v>0</v>
      </c>
      <c r="J131">
        <f t="shared" ref="J131:J194" si="4">F:F+G:G</f>
        <v>1</v>
      </c>
      <c r="K131" t="str">
        <f t="shared" ref="K131:K194" si="5">IF(F131&gt;G131,"Home Win",IF(F131&lt;G131,"Away Win","Draw"))</f>
        <v>Home Win</v>
      </c>
    </row>
    <row r="132" spans="1:11" x14ac:dyDescent="0.35">
      <c r="A132">
        <v>131</v>
      </c>
      <c r="B132">
        <v>1958</v>
      </c>
      <c r="C132" s="1">
        <v>21355</v>
      </c>
      <c r="D132" t="s">
        <v>56</v>
      </c>
      <c r="E132" t="s">
        <v>17</v>
      </c>
      <c r="F132">
        <v>2</v>
      </c>
      <c r="G132">
        <v>0</v>
      </c>
      <c r="H132" t="s">
        <v>32</v>
      </c>
      <c r="I132" t="b">
        <v>1</v>
      </c>
      <c r="J132">
        <f t="shared" si="4"/>
        <v>2</v>
      </c>
      <c r="K132" t="str">
        <f t="shared" si="5"/>
        <v>Home Win</v>
      </c>
    </row>
    <row r="133" spans="1:11" x14ac:dyDescent="0.35">
      <c r="A133">
        <v>132</v>
      </c>
      <c r="B133">
        <v>1958</v>
      </c>
      <c r="C133" s="1">
        <v>21355</v>
      </c>
      <c r="D133" t="s">
        <v>56</v>
      </c>
      <c r="E133" t="s">
        <v>14</v>
      </c>
      <c r="F133">
        <v>4</v>
      </c>
      <c r="G133">
        <v>0</v>
      </c>
      <c r="H133" t="s">
        <v>66</v>
      </c>
      <c r="I133" t="b">
        <v>0</v>
      </c>
      <c r="J133">
        <f t="shared" si="4"/>
        <v>4</v>
      </c>
      <c r="K133" t="str">
        <f t="shared" si="5"/>
        <v>Home Win</v>
      </c>
    </row>
    <row r="134" spans="1:11" x14ac:dyDescent="0.35">
      <c r="A134">
        <v>133</v>
      </c>
      <c r="B134">
        <v>1958</v>
      </c>
      <c r="C134" s="1">
        <v>21360</v>
      </c>
      <c r="D134" t="s">
        <v>52</v>
      </c>
      <c r="E134" t="s">
        <v>17</v>
      </c>
      <c r="F134">
        <v>3</v>
      </c>
      <c r="G134">
        <v>1</v>
      </c>
      <c r="H134" t="s">
        <v>13</v>
      </c>
      <c r="I134" t="b">
        <v>1</v>
      </c>
      <c r="J134">
        <f t="shared" si="4"/>
        <v>4</v>
      </c>
      <c r="K134" t="str">
        <f t="shared" si="5"/>
        <v>Home Win</v>
      </c>
    </row>
    <row r="135" spans="1:11" x14ac:dyDescent="0.35">
      <c r="A135">
        <v>134</v>
      </c>
      <c r="B135">
        <v>1958</v>
      </c>
      <c r="C135" s="1">
        <v>21360</v>
      </c>
      <c r="D135" t="s">
        <v>52</v>
      </c>
      <c r="E135" t="s">
        <v>16</v>
      </c>
      <c r="F135">
        <v>5</v>
      </c>
      <c r="G135">
        <v>2</v>
      </c>
      <c r="H135" t="s">
        <v>14</v>
      </c>
      <c r="I135" t="b">
        <v>0</v>
      </c>
      <c r="J135">
        <f t="shared" si="4"/>
        <v>7</v>
      </c>
      <c r="K135" t="str">
        <f t="shared" si="5"/>
        <v>Home Win</v>
      </c>
    </row>
    <row r="136" spans="1:11" x14ac:dyDescent="0.35">
      <c r="A136">
        <v>135</v>
      </c>
      <c r="B136">
        <v>1958</v>
      </c>
      <c r="C136" s="1">
        <v>21364</v>
      </c>
      <c r="D136" t="s">
        <v>57</v>
      </c>
      <c r="E136" t="s">
        <v>14</v>
      </c>
      <c r="F136">
        <v>6</v>
      </c>
      <c r="G136">
        <v>3</v>
      </c>
      <c r="H136" t="s">
        <v>13</v>
      </c>
      <c r="I136" t="b">
        <v>0</v>
      </c>
      <c r="J136">
        <f t="shared" si="4"/>
        <v>9</v>
      </c>
      <c r="K136" t="str">
        <f t="shared" si="5"/>
        <v>Home Win</v>
      </c>
    </row>
    <row r="137" spans="1:11" x14ac:dyDescent="0.35">
      <c r="A137">
        <v>136</v>
      </c>
      <c r="B137">
        <v>1958</v>
      </c>
      <c r="C137" s="1">
        <v>21365</v>
      </c>
      <c r="D137" t="s">
        <v>53</v>
      </c>
      <c r="E137" t="s">
        <v>17</v>
      </c>
      <c r="F137">
        <v>2</v>
      </c>
      <c r="G137">
        <v>5</v>
      </c>
      <c r="H137" t="s">
        <v>16</v>
      </c>
      <c r="I137" t="b">
        <v>1</v>
      </c>
      <c r="J137">
        <f t="shared" si="4"/>
        <v>7</v>
      </c>
      <c r="K137" t="str">
        <f t="shared" si="5"/>
        <v>Away Win</v>
      </c>
    </row>
    <row r="138" spans="1:11" x14ac:dyDescent="0.35">
      <c r="A138">
        <v>137</v>
      </c>
      <c r="B138">
        <v>1962</v>
      </c>
      <c r="C138" s="1">
        <v>22796</v>
      </c>
      <c r="D138" t="s">
        <v>45</v>
      </c>
      <c r="E138" t="s">
        <v>8</v>
      </c>
      <c r="F138">
        <v>2</v>
      </c>
      <c r="G138">
        <v>1</v>
      </c>
      <c r="H138" t="s">
        <v>67</v>
      </c>
      <c r="I138" t="b">
        <v>0</v>
      </c>
      <c r="J138">
        <f t="shared" si="4"/>
        <v>3</v>
      </c>
      <c r="K138" t="str">
        <f t="shared" si="5"/>
        <v>Home Win</v>
      </c>
    </row>
    <row r="139" spans="1:11" x14ac:dyDescent="0.35">
      <c r="A139">
        <v>138</v>
      </c>
      <c r="B139">
        <v>1962</v>
      </c>
      <c r="C139" s="1">
        <v>22796</v>
      </c>
      <c r="D139" t="s">
        <v>45</v>
      </c>
      <c r="E139" t="s">
        <v>16</v>
      </c>
      <c r="F139">
        <v>2</v>
      </c>
      <c r="G139">
        <v>0</v>
      </c>
      <c r="H139" t="s">
        <v>24</v>
      </c>
      <c r="I139" t="b">
        <v>0</v>
      </c>
      <c r="J139">
        <f t="shared" si="4"/>
        <v>2</v>
      </c>
      <c r="K139" t="str">
        <f t="shared" si="5"/>
        <v>Home Win</v>
      </c>
    </row>
    <row r="140" spans="1:11" x14ac:dyDescent="0.35">
      <c r="A140">
        <v>139</v>
      </c>
      <c r="B140">
        <v>1962</v>
      </c>
      <c r="C140" s="1">
        <v>22796</v>
      </c>
      <c r="D140" t="s">
        <v>45</v>
      </c>
      <c r="E140" t="s">
        <v>9</v>
      </c>
      <c r="F140">
        <v>1</v>
      </c>
      <c r="G140">
        <v>0</v>
      </c>
      <c r="H140" t="s">
        <v>68</v>
      </c>
      <c r="I140" t="b">
        <v>0</v>
      </c>
      <c r="J140">
        <f t="shared" si="4"/>
        <v>1</v>
      </c>
      <c r="K140" t="str">
        <f t="shared" si="5"/>
        <v>Home Win</v>
      </c>
    </row>
    <row r="141" spans="1:11" x14ac:dyDescent="0.35">
      <c r="A141">
        <v>140</v>
      </c>
      <c r="B141">
        <v>1962</v>
      </c>
      <c r="C141" s="1">
        <v>22796</v>
      </c>
      <c r="D141" t="s">
        <v>45</v>
      </c>
      <c r="E141" t="s">
        <v>21</v>
      </c>
      <c r="F141">
        <v>3</v>
      </c>
      <c r="G141">
        <v>1</v>
      </c>
      <c r="H141" t="s">
        <v>18</v>
      </c>
      <c r="I141" t="b">
        <v>1</v>
      </c>
      <c r="J141">
        <f t="shared" si="4"/>
        <v>4</v>
      </c>
      <c r="K141" t="str">
        <f t="shared" si="5"/>
        <v>Home Win</v>
      </c>
    </row>
    <row r="142" spans="1:11" x14ac:dyDescent="0.35">
      <c r="A142">
        <v>141</v>
      </c>
      <c r="B142">
        <v>1962</v>
      </c>
      <c r="C142" s="1">
        <v>22797</v>
      </c>
      <c r="D142" t="s">
        <v>45</v>
      </c>
      <c r="E142" t="s">
        <v>32</v>
      </c>
      <c r="F142">
        <v>2</v>
      </c>
      <c r="G142">
        <v>0</v>
      </c>
      <c r="H142" t="s">
        <v>47</v>
      </c>
      <c r="I142" t="b">
        <v>0</v>
      </c>
      <c r="J142">
        <f t="shared" si="4"/>
        <v>2</v>
      </c>
      <c r="K142" t="str">
        <f t="shared" si="5"/>
        <v>Home Win</v>
      </c>
    </row>
    <row r="143" spans="1:11" x14ac:dyDescent="0.35">
      <c r="A143">
        <v>142</v>
      </c>
      <c r="B143">
        <v>1962</v>
      </c>
      <c r="C143" s="1">
        <v>22797</v>
      </c>
      <c r="D143" t="s">
        <v>45</v>
      </c>
      <c r="E143" t="s">
        <v>12</v>
      </c>
      <c r="F143">
        <v>1</v>
      </c>
      <c r="G143">
        <v>0</v>
      </c>
      <c r="H143" t="s">
        <v>27</v>
      </c>
      <c r="I143" t="b">
        <v>0</v>
      </c>
      <c r="J143">
        <f t="shared" si="4"/>
        <v>1</v>
      </c>
      <c r="K143" t="str">
        <f t="shared" si="5"/>
        <v>Home Win</v>
      </c>
    </row>
    <row r="144" spans="1:11" x14ac:dyDescent="0.35">
      <c r="A144">
        <v>143</v>
      </c>
      <c r="B144">
        <v>1962</v>
      </c>
      <c r="C144" s="1">
        <v>22797</v>
      </c>
      <c r="D144" t="s">
        <v>45</v>
      </c>
      <c r="E144" t="s">
        <v>15</v>
      </c>
      <c r="F144">
        <v>2</v>
      </c>
      <c r="G144">
        <v>1</v>
      </c>
      <c r="H144" t="s">
        <v>22</v>
      </c>
      <c r="I144" t="b">
        <v>0</v>
      </c>
      <c r="J144">
        <f t="shared" si="4"/>
        <v>3</v>
      </c>
      <c r="K144" t="str">
        <f t="shared" si="5"/>
        <v>Home Win</v>
      </c>
    </row>
    <row r="145" spans="1:11" x14ac:dyDescent="0.35">
      <c r="A145">
        <v>144</v>
      </c>
      <c r="B145">
        <v>1962</v>
      </c>
      <c r="C145" s="1">
        <v>22797</v>
      </c>
      <c r="D145" t="s">
        <v>45</v>
      </c>
      <c r="E145" t="s">
        <v>13</v>
      </c>
      <c r="F145">
        <v>0</v>
      </c>
      <c r="G145">
        <v>0</v>
      </c>
      <c r="H145" t="s">
        <v>11</v>
      </c>
      <c r="I145" t="b">
        <v>0</v>
      </c>
      <c r="J145">
        <f t="shared" si="4"/>
        <v>0</v>
      </c>
      <c r="K145" t="str">
        <f t="shared" si="5"/>
        <v>Draw</v>
      </c>
    </row>
    <row r="146" spans="1:11" x14ac:dyDescent="0.35">
      <c r="A146">
        <v>145</v>
      </c>
      <c r="B146">
        <v>1962</v>
      </c>
      <c r="C146" s="1">
        <v>22799</v>
      </c>
      <c r="D146" t="s">
        <v>45</v>
      </c>
      <c r="E146" t="s">
        <v>47</v>
      </c>
      <c r="F146">
        <v>3</v>
      </c>
      <c r="G146">
        <v>1</v>
      </c>
      <c r="H146" t="s">
        <v>8</v>
      </c>
      <c r="I146" t="b">
        <v>0</v>
      </c>
      <c r="J146">
        <f t="shared" si="4"/>
        <v>4</v>
      </c>
      <c r="K146" t="str">
        <f t="shared" si="5"/>
        <v>Home Win</v>
      </c>
    </row>
    <row r="147" spans="1:11" x14ac:dyDescent="0.35">
      <c r="A147">
        <v>146</v>
      </c>
      <c r="B147">
        <v>1962</v>
      </c>
      <c r="C147" s="1">
        <v>22799</v>
      </c>
      <c r="D147" t="s">
        <v>45</v>
      </c>
      <c r="E147" t="s">
        <v>16</v>
      </c>
      <c r="F147">
        <v>0</v>
      </c>
      <c r="G147">
        <v>0</v>
      </c>
      <c r="H147" t="s">
        <v>12</v>
      </c>
      <c r="I147" t="b">
        <v>0</v>
      </c>
      <c r="J147">
        <f t="shared" si="4"/>
        <v>0</v>
      </c>
      <c r="K147" t="str">
        <f t="shared" si="5"/>
        <v>Draw</v>
      </c>
    </row>
    <row r="148" spans="1:11" x14ac:dyDescent="0.35">
      <c r="A148">
        <v>147</v>
      </c>
      <c r="B148">
        <v>1962</v>
      </c>
      <c r="C148" s="1">
        <v>22799</v>
      </c>
      <c r="D148" t="s">
        <v>45</v>
      </c>
      <c r="E148" t="s">
        <v>22</v>
      </c>
      <c r="F148">
        <v>3</v>
      </c>
      <c r="G148">
        <v>1</v>
      </c>
      <c r="H148" t="s">
        <v>9</v>
      </c>
      <c r="I148" t="b">
        <v>0</v>
      </c>
      <c r="J148">
        <f t="shared" si="4"/>
        <v>4</v>
      </c>
      <c r="K148" t="str">
        <f t="shared" si="5"/>
        <v>Home Win</v>
      </c>
    </row>
    <row r="149" spans="1:11" x14ac:dyDescent="0.35">
      <c r="A149">
        <v>148</v>
      </c>
      <c r="B149">
        <v>1962</v>
      </c>
      <c r="C149" s="1">
        <v>22799</v>
      </c>
      <c r="D149" t="s">
        <v>45</v>
      </c>
      <c r="E149" t="s">
        <v>21</v>
      </c>
      <c r="F149">
        <v>2</v>
      </c>
      <c r="G149">
        <v>0</v>
      </c>
      <c r="H149" t="s">
        <v>11</v>
      </c>
      <c r="I149" t="b">
        <v>1</v>
      </c>
      <c r="J149">
        <f t="shared" si="4"/>
        <v>2</v>
      </c>
      <c r="K149" t="str">
        <f t="shared" si="5"/>
        <v>Home Win</v>
      </c>
    </row>
    <row r="150" spans="1:11" x14ac:dyDescent="0.35">
      <c r="A150">
        <v>149</v>
      </c>
      <c r="B150">
        <v>1962</v>
      </c>
      <c r="C150" s="1">
        <v>22800</v>
      </c>
      <c r="D150" t="s">
        <v>45</v>
      </c>
      <c r="E150" t="s">
        <v>32</v>
      </c>
      <c r="F150">
        <v>4</v>
      </c>
      <c r="G150">
        <v>4</v>
      </c>
      <c r="H150" t="s">
        <v>67</v>
      </c>
      <c r="I150" t="b">
        <v>0</v>
      </c>
      <c r="J150">
        <f t="shared" si="4"/>
        <v>8</v>
      </c>
      <c r="K150" t="str">
        <f t="shared" si="5"/>
        <v>Draw</v>
      </c>
    </row>
    <row r="151" spans="1:11" x14ac:dyDescent="0.35">
      <c r="A151">
        <v>150</v>
      </c>
      <c r="B151">
        <v>1962</v>
      </c>
      <c r="C151" s="1">
        <v>22800</v>
      </c>
      <c r="D151" t="s">
        <v>45</v>
      </c>
      <c r="E151" t="s">
        <v>27</v>
      </c>
      <c r="F151">
        <v>1</v>
      </c>
      <c r="G151">
        <v>0</v>
      </c>
      <c r="H151" t="s">
        <v>24</v>
      </c>
      <c r="I151" t="b">
        <v>0</v>
      </c>
      <c r="J151">
        <f t="shared" si="4"/>
        <v>1</v>
      </c>
      <c r="K151" t="str">
        <f t="shared" si="5"/>
        <v>Home Win</v>
      </c>
    </row>
    <row r="152" spans="1:11" x14ac:dyDescent="0.35">
      <c r="A152">
        <v>151</v>
      </c>
      <c r="B152">
        <v>1962</v>
      </c>
      <c r="C152" s="1">
        <v>22800</v>
      </c>
      <c r="D152" t="s">
        <v>45</v>
      </c>
      <c r="E152" t="s">
        <v>15</v>
      </c>
      <c r="F152">
        <v>6</v>
      </c>
      <c r="G152">
        <v>1</v>
      </c>
      <c r="H152" t="s">
        <v>68</v>
      </c>
      <c r="I152" t="b">
        <v>0</v>
      </c>
      <c r="J152">
        <f t="shared" si="4"/>
        <v>7</v>
      </c>
      <c r="K152" t="str">
        <f t="shared" si="5"/>
        <v>Home Win</v>
      </c>
    </row>
    <row r="153" spans="1:11" x14ac:dyDescent="0.35">
      <c r="A153">
        <v>152</v>
      </c>
      <c r="B153">
        <v>1962</v>
      </c>
      <c r="C153" s="1">
        <v>22800</v>
      </c>
      <c r="D153" t="s">
        <v>45</v>
      </c>
      <c r="E153" t="s">
        <v>13</v>
      </c>
      <c r="F153">
        <v>2</v>
      </c>
      <c r="G153">
        <v>1</v>
      </c>
      <c r="H153" t="s">
        <v>18</v>
      </c>
      <c r="I153" t="b">
        <v>0</v>
      </c>
      <c r="J153">
        <f t="shared" si="4"/>
        <v>3</v>
      </c>
      <c r="K153" t="str">
        <f t="shared" si="5"/>
        <v>Home Win</v>
      </c>
    </row>
    <row r="154" spans="1:11" x14ac:dyDescent="0.35">
      <c r="A154">
        <v>153</v>
      </c>
      <c r="B154">
        <v>1962</v>
      </c>
      <c r="C154" s="1">
        <v>22803</v>
      </c>
      <c r="D154" t="s">
        <v>45</v>
      </c>
      <c r="E154" t="s">
        <v>32</v>
      </c>
      <c r="F154">
        <v>2</v>
      </c>
      <c r="G154">
        <v>1</v>
      </c>
      <c r="H154" t="s">
        <v>8</v>
      </c>
      <c r="I154" t="b">
        <v>0</v>
      </c>
      <c r="J154">
        <f t="shared" si="4"/>
        <v>3</v>
      </c>
      <c r="K154" t="str">
        <f t="shared" si="5"/>
        <v>Home Win</v>
      </c>
    </row>
    <row r="155" spans="1:11" x14ac:dyDescent="0.35">
      <c r="A155">
        <v>154</v>
      </c>
      <c r="B155">
        <v>1962</v>
      </c>
      <c r="C155" s="1">
        <v>22803</v>
      </c>
      <c r="D155" t="s">
        <v>45</v>
      </c>
      <c r="E155" t="s">
        <v>16</v>
      </c>
      <c r="F155">
        <v>2</v>
      </c>
      <c r="G155">
        <v>1</v>
      </c>
      <c r="H155" t="s">
        <v>27</v>
      </c>
      <c r="I155" t="b">
        <v>0</v>
      </c>
      <c r="J155">
        <f t="shared" si="4"/>
        <v>3</v>
      </c>
      <c r="K155" t="str">
        <f t="shared" si="5"/>
        <v>Home Win</v>
      </c>
    </row>
    <row r="156" spans="1:11" x14ac:dyDescent="0.35">
      <c r="A156">
        <v>155</v>
      </c>
      <c r="B156">
        <v>1962</v>
      </c>
      <c r="C156" s="1">
        <v>22803</v>
      </c>
      <c r="D156" t="s">
        <v>45</v>
      </c>
      <c r="E156" t="s">
        <v>15</v>
      </c>
      <c r="F156">
        <v>0</v>
      </c>
      <c r="G156">
        <v>0</v>
      </c>
      <c r="H156" t="s">
        <v>9</v>
      </c>
      <c r="I156" t="b">
        <v>0</v>
      </c>
      <c r="J156">
        <f t="shared" si="4"/>
        <v>0</v>
      </c>
      <c r="K156" t="str">
        <f t="shared" si="5"/>
        <v>Draw</v>
      </c>
    </row>
    <row r="157" spans="1:11" x14ac:dyDescent="0.35">
      <c r="A157">
        <v>156</v>
      </c>
      <c r="B157">
        <v>1962</v>
      </c>
      <c r="C157" s="1">
        <v>22803</v>
      </c>
      <c r="D157" t="s">
        <v>45</v>
      </c>
      <c r="E157" t="s">
        <v>21</v>
      </c>
      <c r="F157">
        <v>0</v>
      </c>
      <c r="G157">
        <v>2</v>
      </c>
      <c r="H157" t="s">
        <v>13</v>
      </c>
      <c r="I157" t="b">
        <v>1</v>
      </c>
      <c r="J157">
        <f t="shared" si="4"/>
        <v>2</v>
      </c>
      <c r="K157" t="str">
        <f t="shared" si="5"/>
        <v>Away Win</v>
      </c>
    </row>
    <row r="158" spans="1:11" x14ac:dyDescent="0.35">
      <c r="A158">
        <v>157</v>
      </c>
      <c r="B158">
        <v>1962</v>
      </c>
      <c r="C158" s="1">
        <v>22804</v>
      </c>
      <c r="D158" t="s">
        <v>45</v>
      </c>
      <c r="E158" t="s">
        <v>47</v>
      </c>
      <c r="F158">
        <v>5</v>
      </c>
      <c r="G158">
        <v>0</v>
      </c>
      <c r="H158" t="s">
        <v>67</v>
      </c>
      <c r="I158" t="b">
        <v>0</v>
      </c>
      <c r="J158">
        <f t="shared" si="4"/>
        <v>5</v>
      </c>
      <c r="K158" t="str">
        <f t="shared" si="5"/>
        <v>Home Win</v>
      </c>
    </row>
    <row r="159" spans="1:11" x14ac:dyDescent="0.35">
      <c r="A159">
        <v>158</v>
      </c>
      <c r="B159">
        <v>1962</v>
      </c>
      <c r="C159" s="1">
        <v>22804</v>
      </c>
      <c r="D159" t="s">
        <v>45</v>
      </c>
      <c r="E159" t="s">
        <v>24</v>
      </c>
      <c r="F159">
        <v>3</v>
      </c>
      <c r="G159">
        <v>1</v>
      </c>
      <c r="H159" t="s">
        <v>12</v>
      </c>
      <c r="I159" t="b">
        <v>0</v>
      </c>
      <c r="J159">
        <f t="shared" si="4"/>
        <v>4</v>
      </c>
      <c r="K159" t="str">
        <f t="shared" si="5"/>
        <v>Home Win</v>
      </c>
    </row>
    <row r="160" spans="1:11" x14ac:dyDescent="0.35">
      <c r="A160">
        <v>159</v>
      </c>
      <c r="B160">
        <v>1962</v>
      </c>
      <c r="C160" s="1">
        <v>22804</v>
      </c>
      <c r="D160" t="s">
        <v>45</v>
      </c>
      <c r="E160" t="s">
        <v>22</v>
      </c>
      <c r="F160">
        <v>0</v>
      </c>
      <c r="G160">
        <v>0</v>
      </c>
      <c r="H160" t="s">
        <v>68</v>
      </c>
      <c r="I160" t="b">
        <v>0</v>
      </c>
      <c r="J160">
        <f t="shared" si="4"/>
        <v>0</v>
      </c>
      <c r="K160" t="str">
        <f t="shared" si="5"/>
        <v>Draw</v>
      </c>
    </row>
    <row r="161" spans="1:11" x14ac:dyDescent="0.35">
      <c r="A161">
        <v>160</v>
      </c>
      <c r="B161">
        <v>1962</v>
      </c>
      <c r="C161" s="1">
        <v>22804</v>
      </c>
      <c r="D161" t="s">
        <v>45</v>
      </c>
      <c r="E161" t="s">
        <v>11</v>
      </c>
      <c r="F161">
        <v>3</v>
      </c>
      <c r="G161">
        <v>0</v>
      </c>
      <c r="H161" t="s">
        <v>18</v>
      </c>
      <c r="I161" t="b">
        <v>0</v>
      </c>
      <c r="J161">
        <f t="shared" si="4"/>
        <v>3</v>
      </c>
      <c r="K161" t="str">
        <f t="shared" si="5"/>
        <v>Home Win</v>
      </c>
    </row>
    <row r="162" spans="1:11" x14ac:dyDescent="0.35">
      <c r="A162">
        <v>161</v>
      </c>
      <c r="B162">
        <v>1962</v>
      </c>
      <c r="C162" s="1">
        <v>22807</v>
      </c>
      <c r="D162" t="s">
        <v>56</v>
      </c>
      <c r="E162" t="s">
        <v>21</v>
      </c>
      <c r="F162">
        <v>2</v>
      </c>
      <c r="G162">
        <v>1</v>
      </c>
      <c r="H162" t="s">
        <v>32</v>
      </c>
      <c r="I162" t="b">
        <v>1</v>
      </c>
      <c r="J162">
        <f t="shared" si="4"/>
        <v>3</v>
      </c>
      <c r="K162" t="str">
        <f t="shared" si="5"/>
        <v>Home Win</v>
      </c>
    </row>
    <row r="163" spans="1:11" x14ac:dyDescent="0.35">
      <c r="A163">
        <v>162</v>
      </c>
      <c r="B163">
        <v>1962</v>
      </c>
      <c r="C163" s="1">
        <v>22807</v>
      </c>
      <c r="D163" t="s">
        <v>56</v>
      </c>
      <c r="E163" t="s">
        <v>16</v>
      </c>
      <c r="F163">
        <v>3</v>
      </c>
      <c r="G163">
        <v>1</v>
      </c>
      <c r="H163" t="s">
        <v>22</v>
      </c>
      <c r="I163" t="b">
        <v>0</v>
      </c>
      <c r="J163">
        <f t="shared" si="4"/>
        <v>4</v>
      </c>
      <c r="K163" t="str">
        <f t="shared" si="5"/>
        <v>Home Win</v>
      </c>
    </row>
    <row r="164" spans="1:11" x14ac:dyDescent="0.35">
      <c r="A164">
        <v>163</v>
      </c>
      <c r="B164">
        <v>1962</v>
      </c>
      <c r="C164" s="1">
        <v>22807</v>
      </c>
      <c r="D164" t="s">
        <v>56</v>
      </c>
      <c r="E164" t="s">
        <v>12</v>
      </c>
      <c r="F164">
        <v>1</v>
      </c>
      <c r="G164">
        <v>0</v>
      </c>
      <c r="H164" t="s">
        <v>15</v>
      </c>
      <c r="I164" t="b">
        <v>0</v>
      </c>
      <c r="J164">
        <f t="shared" si="4"/>
        <v>1</v>
      </c>
      <c r="K164" t="str">
        <f t="shared" si="5"/>
        <v>Home Win</v>
      </c>
    </row>
    <row r="165" spans="1:11" x14ac:dyDescent="0.35">
      <c r="A165">
        <v>164</v>
      </c>
      <c r="B165">
        <v>1962</v>
      </c>
      <c r="C165" s="1">
        <v>22807</v>
      </c>
      <c r="D165" t="s">
        <v>56</v>
      </c>
      <c r="E165" t="s">
        <v>47</v>
      </c>
      <c r="F165">
        <v>1</v>
      </c>
      <c r="G165">
        <v>0</v>
      </c>
      <c r="H165" t="s">
        <v>13</v>
      </c>
      <c r="I165" t="b">
        <v>0</v>
      </c>
      <c r="J165">
        <f t="shared" si="4"/>
        <v>1</v>
      </c>
      <c r="K165" t="str">
        <f t="shared" si="5"/>
        <v>Home Win</v>
      </c>
    </row>
    <row r="166" spans="1:11" x14ac:dyDescent="0.35">
      <c r="A166">
        <v>165</v>
      </c>
      <c r="B166">
        <v>1962</v>
      </c>
      <c r="C166" s="1">
        <v>22810</v>
      </c>
      <c r="D166" t="s">
        <v>52</v>
      </c>
      <c r="E166" t="s">
        <v>12</v>
      </c>
      <c r="F166">
        <v>3</v>
      </c>
      <c r="G166">
        <v>1</v>
      </c>
      <c r="H166" t="s">
        <v>47</v>
      </c>
      <c r="I166" t="b">
        <v>0</v>
      </c>
      <c r="J166">
        <f t="shared" si="4"/>
        <v>4</v>
      </c>
      <c r="K166" t="str">
        <f t="shared" si="5"/>
        <v>Home Win</v>
      </c>
    </row>
    <row r="167" spans="1:11" x14ac:dyDescent="0.35">
      <c r="A167">
        <v>166</v>
      </c>
      <c r="B167">
        <v>1962</v>
      </c>
      <c r="C167" s="1">
        <v>22810</v>
      </c>
      <c r="D167" t="s">
        <v>52</v>
      </c>
      <c r="E167" t="s">
        <v>21</v>
      </c>
      <c r="F167">
        <v>2</v>
      </c>
      <c r="G167">
        <v>4</v>
      </c>
      <c r="H167" t="s">
        <v>16</v>
      </c>
      <c r="I167" t="b">
        <v>1</v>
      </c>
      <c r="J167">
        <f t="shared" si="4"/>
        <v>6</v>
      </c>
      <c r="K167" t="str">
        <f t="shared" si="5"/>
        <v>Away Win</v>
      </c>
    </row>
    <row r="168" spans="1:11" x14ac:dyDescent="0.35">
      <c r="A168">
        <v>167</v>
      </c>
      <c r="B168">
        <v>1962</v>
      </c>
      <c r="C168" s="1">
        <v>22813</v>
      </c>
      <c r="D168" t="s">
        <v>57</v>
      </c>
      <c r="E168" t="s">
        <v>21</v>
      </c>
      <c r="F168">
        <v>1</v>
      </c>
      <c r="G168">
        <v>0</v>
      </c>
      <c r="H168" t="s">
        <v>47</v>
      </c>
      <c r="I168" t="b">
        <v>1</v>
      </c>
      <c r="J168">
        <f t="shared" si="4"/>
        <v>1</v>
      </c>
      <c r="K168" t="str">
        <f t="shared" si="5"/>
        <v>Home Win</v>
      </c>
    </row>
    <row r="169" spans="1:11" x14ac:dyDescent="0.35">
      <c r="A169">
        <v>168</v>
      </c>
      <c r="B169">
        <v>1962</v>
      </c>
      <c r="C169" s="1">
        <v>22814</v>
      </c>
      <c r="D169" t="s">
        <v>53</v>
      </c>
      <c r="E169" t="s">
        <v>16</v>
      </c>
      <c r="F169">
        <v>3</v>
      </c>
      <c r="G169">
        <v>1</v>
      </c>
      <c r="H169" t="s">
        <v>12</v>
      </c>
      <c r="I169" t="b">
        <v>0</v>
      </c>
      <c r="J169">
        <f t="shared" si="4"/>
        <v>4</v>
      </c>
      <c r="K169" t="str">
        <f t="shared" si="5"/>
        <v>Home Win</v>
      </c>
    </row>
    <row r="170" spans="1:11" x14ac:dyDescent="0.35">
      <c r="A170">
        <v>169</v>
      </c>
      <c r="B170">
        <v>1966</v>
      </c>
      <c r="C170" s="1">
        <v>24299</v>
      </c>
      <c r="D170" t="s">
        <v>45</v>
      </c>
      <c r="E170" t="s">
        <v>22</v>
      </c>
      <c r="F170">
        <v>0</v>
      </c>
      <c r="G170">
        <v>0</v>
      </c>
      <c r="H170" t="s">
        <v>8</v>
      </c>
      <c r="I170" t="b">
        <v>1</v>
      </c>
      <c r="J170">
        <f t="shared" si="4"/>
        <v>0</v>
      </c>
      <c r="K170" t="str">
        <f t="shared" si="5"/>
        <v>Draw</v>
      </c>
    </row>
    <row r="171" spans="1:11" x14ac:dyDescent="0.35">
      <c r="A171">
        <v>170</v>
      </c>
      <c r="B171">
        <v>1966</v>
      </c>
      <c r="C171" s="1">
        <v>24300</v>
      </c>
      <c r="D171" t="s">
        <v>45</v>
      </c>
      <c r="E171" t="s">
        <v>13</v>
      </c>
      <c r="F171">
        <v>5</v>
      </c>
      <c r="G171">
        <v>0</v>
      </c>
      <c r="H171" t="s">
        <v>18</v>
      </c>
      <c r="I171" t="b">
        <v>0</v>
      </c>
      <c r="J171">
        <f t="shared" si="4"/>
        <v>5</v>
      </c>
      <c r="K171" t="str">
        <f t="shared" si="5"/>
        <v>Home Win</v>
      </c>
    </row>
    <row r="172" spans="1:11" x14ac:dyDescent="0.35">
      <c r="A172">
        <v>171</v>
      </c>
      <c r="B172">
        <v>1966</v>
      </c>
      <c r="C172" s="1">
        <v>24300</v>
      </c>
      <c r="D172" t="s">
        <v>45</v>
      </c>
      <c r="E172" t="s">
        <v>16</v>
      </c>
      <c r="F172">
        <v>2</v>
      </c>
      <c r="G172">
        <v>0</v>
      </c>
      <c r="H172" t="s">
        <v>68</v>
      </c>
      <c r="I172" t="b">
        <v>0</v>
      </c>
      <c r="J172">
        <f t="shared" si="4"/>
        <v>2</v>
      </c>
      <c r="K172" t="str">
        <f t="shared" si="5"/>
        <v>Home Win</v>
      </c>
    </row>
    <row r="173" spans="1:11" x14ac:dyDescent="0.35">
      <c r="A173">
        <v>172</v>
      </c>
      <c r="B173">
        <v>1966</v>
      </c>
      <c r="C173" s="1">
        <v>24300</v>
      </c>
      <c r="D173" t="s">
        <v>45</v>
      </c>
      <c r="E173" t="s">
        <v>32</v>
      </c>
      <c r="F173">
        <v>3</v>
      </c>
      <c r="G173">
        <v>0</v>
      </c>
      <c r="H173" t="s">
        <v>69</v>
      </c>
      <c r="I173" t="b">
        <v>0</v>
      </c>
      <c r="J173">
        <f t="shared" si="4"/>
        <v>3</v>
      </c>
      <c r="K173" t="str">
        <f t="shared" si="5"/>
        <v>Home Win</v>
      </c>
    </row>
    <row r="174" spans="1:11" x14ac:dyDescent="0.35">
      <c r="A174">
        <v>173</v>
      </c>
      <c r="B174">
        <v>1966</v>
      </c>
      <c r="C174" s="1">
        <v>24301</v>
      </c>
      <c r="D174" t="s">
        <v>45</v>
      </c>
      <c r="E174" t="s">
        <v>14</v>
      </c>
      <c r="F174">
        <v>1</v>
      </c>
      <c r="G174">
        <v>1</v>
      </c>
      <c r="H174" t="s">
        <v>24</v>
      </c>
      <c r="I174" t="b">
        <v>0</v>
      </c>
      <c r="J174">
        <f t="shared" si="4"/>
        <v>2</v>
      </c>
      <c r="K174" t="str">
        <f t="shared" si="5"/>
        <v>Draw</v>
      </c>
    </row>
    <row r="175" spans="1:11" x14ac:dyDescent="0.35">
      <c r="A175">
        <v>174</v>
      </c>
      <c r="B175">
        <v>1966</v>
      </c>
      <c r="C175" s="1">
        <v>24301</v>
      </c>
      <c r="D175" t="s">
        <v>45</v>
      </c>
      <c r="E175" t="s">
        <v>23</v>
      </c>
      <c r="F175">
        <v>3</v>
      </c>
      <c r="G175">
        <v>1</v>
      </c>
      <c r="H175" t="s">
        <v>15</v>
      </c>
      <c r="I175" t="b">
        <v>0</v>
      </c>
      <c r="J175">
        <f t="shared" si="4"/>
        <v>4</v>
      </c>
      <c r="K175" t="str">
        <f t="shared" si="5"/>
        <v>Home Win</v>
      </c>
    </row>
    <row r="176" spans="1:11" x14ac:dyDescent="0.35">
      <c r="A176">
        <v>175</v>
      </c>
      <c r="B176">
        <v>1966</v>
      </c>
      <c r="C176" s="1">
        <v>24301</v>
      </c>
      <c r="D176" t="s">
        <v>45</v>
      </c>
      <c r="E176" t="s">
        <v>9</v>
      </c>
      <c r="F176">
        <v>2</v>
      </c>
      <c r="G176">
        <v>1</v>
      </c>
      <c r="H176" t="s">
        <v>27</v>
      </c>
      <c r="I176" t="b">
        <v>0</v>
      </c>
      <c r="J176">
        <f t="shared" si="4"/>
        <v>3</v>
      </c>
      <c r="K176" t="str">
        <f t="shared" si="5"/>
        <v>Home Win</v>
      </c>
    </row>
    <row r="177" spans="1:11" x14ac:dyDescent="0.35">
      <c r="A177">
        <v>176</v>
      </c>
      <c r="B177">
        <v>1966</v>
      </c>
      <c r="C177" s="1">
        <v>24301</v>
      </c>
      <c r="D177" t="s">
        <v>45</v>
      </c>
      <c r="E177" t="s">
        <v>11</v>
      </c>
      <c r="F177">
        <v>2</v>
      </c>
      <c r="G177">
        <v>0</v>
      </c>
      <c r="H177" t="s">
        <v>21</v>
      </c>
      <c r="I177" t="b">
        <v>0</v>
      </c>
      <c r="J177">
        <f t="shared" si="4"/>
        <v>2</v>
      </c>
      <c r="K177" t="str">
        <f t="shared" si="5"/>
        <v>Home Win</v>
      </c>
    </row>
    <row r="178" spans="1:11" x14ac:dyDescent="0.35">
      <c r="A178">
        <v>177</v>
      </c>
      <c r="B178">
        <v>1966</v>
      </c>
      <c r="C178" s="1">
        <v>24303</v>
      </c>
      <c r="D178" t="s">
        <v>45</v>
      </c>
      <c r="E178" t="s">
        <v>8</v>
      </c>
      <c r="F178">
        <v>2</v>
      </c>
      <c r="G178">
        <v>1</v>
      </c>
      <c r="H178" t="s">
        <v>14</v>
      </c>
      <c r="I178" t="b">
        <v>0</v>
      </c>
      <c r="J178">
        <f t="shared" si="4"/>
        <v>3</v>
      </c>
      <c r="K178" t="str">
        <f t="shared" si="5"/>
        <v>Home Win</v>
      </c>
    </row>
    <row r="179" spans="1:11" x14ac:dyDescent="0.35">
      <c r="A179">
        <v>178</v>
      </c>
      <c r="B179">
        <v>1966</v>
      </c>
      <c r="C179" s="1">
        <v>24303</v>
      </c>
      <c r="D179" t="s">
        <v>45</v>
      </c>
      <c r="E179" t="s">
        <v>27</v>
      </c>
      <c r="F179">
        <v>2</v>
      </c>
      <c r="G179">
        <v>1</v>
      </c>
      <c r="H179" t="s">
        <v>18</v>
      </c>
      <c r="I179" t="b">
        <v>0</v>
      </c>
      <c r="J179">
        <f t="shared" si="4"/>
        <v>3</v>
      </c>
      <c r="K179" t="str">
        <f t="shared" si="5"/>
        <v>Home Win</v>
      </c>
    </row>
    <row r="180" spans="1:11" x14ac:dyDescent="0.35">
      <c r="A180">
        <v>179</v>
      </c>
      <c r="B180">
        <v>1966</v>
      </c>
      <c r="C180" s="1">
        <v>24303</v>
      </c>
      <c r="D180" t="s">
        <v>45</v>
      </c>
      <c r="E180" t="s">
        <v>15</v>
      </c>
      <c r="F180">
        <v>3</v>
      </c>
      <c r="G180">
        <v>1</v>
      </c>
      <c r="H180" t="s">
        <v>16</v>
      </c>
      <c r="I180" t="b">
        <v>0</v>
      </c>
      <c r="J180">
        <f t="shared" si="4"/>
        <v>4</v>
      </c>
      <c r="K180" t="str">
        <f t="shared" si="5"/>
        <v>Home Win</v>
      </c>
    </row>
    <row r="181" spans="1:11" x14ac:dyDescent="0.35">
      <c r="A181">
        <v>180</v>
      </c>
      <c r="B181">
        <v>1966</v>
      </c>
      <c r="C181" s="1">
        <v>24303</v>
      </c>
      <c r="D181" t="s">
        <v>45</v>
      </c>
      <c r="E181" t="s">
        <v>69</v>
      </c>
      <c r="F181">
        <v>1</v>
      </c>
      <c r="G181">
        <v>1</v>
      </c>
      <c r="H181" t="s">
        <v>21</v>
      </c>
      <c r="I181" t="b">
        <v>0</v>
      </c>
      <c r="J181">
        <f t="shared" si="4"/>
        <v>2</v>
      </c>
      <c r="K181" t="str">
        <f t="shared" si="5"/>
        <v>Draw</v>
      </c>
    </row>
    <row r="182" spans="1:11" x14ac:dyDescent="0.35">
      <c r="A182">
        <v>181</v>
      </c>
      <c r="B182">
        <v>1966</v>
      </c>
      <c r="C182" s="1">
        <v>24304</v>
      </c>
      <c r="D182" t="s">
        <v>45</v>
      </c>
      <c r="E182" t="s">
        <v>23</v>
      </c>
      <c r="F182">
        <v>3</v>
      </c>
      <c r="G182">
        <v>0</v>
      </c>
      <c r="H182" t="s">
        <v>68</v>
      </c>
      <c r="I182" t="b">
        <v>0</v>
      </c>
      <c r="J182">
        <f t="shared" si="4"/>
        <v>3</v>
      </c>
      <c r="K182" t="str">
        <f t="shared" si="5"/>
        <v>Home Win</v>
      </c>
    </row>
    <row r="183" spans="1:11" x14ac:dyDescent="0.35">
      <c r="A183">
        <v>182</v>
      </c>
      <c r="B183">
        <v>1966</v>
      </c>
      <c r="C183" s="1">
        <v>24304</v>
      </c>
      <c r="D183" t="s">
        <v>45</v>
      </c>
      <c r="E183" t="s">
        <v>13</v>
      </c>
      <c r="F183">
        <v>0</v>
      </c>
      <c r="G183">
        <v>0</v>
      </c>
      <c r="H183" t="s">
        <v>9</v>
      </c>
      <c r="I183" t="b">
        <v>0</v>
      </c>
      <c r="J183">
        <f t="shared" si="4"/>
        <v>0</v>
      </c>
      <c r="K183" t="str">
        <f t="shared" si="5"/>
        <v>Draw</v>
      </c>
    </row>
    <row r="184" spans="1:11" x14ac:dyDescent="0.35">
      <c r="A184">
        <v>183</v>
      </c>
      <c r="B184">
        <v>1966</v>
      </c>
      <c r="C184" s="1">
        <v>24304</v>
      </c>
      <c r="D184" t="s">
        <v>45</v>
      </c>
      <c r="E184" t="s">
        <v>32</v>
      </c>
      <c r="F184">
        <v>1</v>
      </c>
      <c r="G184">
        <v>0</v>
      </c>
      <c r="H184" t="s">
        <v>11</v>
      </c>
      <c r="I184" t="b">
        <v>0</v>
      </c>
      <c r="J184">
        <f t="shared" si="4"/>
        <v>1</v>
      </c>
      <c r="K184" t="str">
        <f t="shared" si="5"/>
        <v>Home Win</v>
      </c>
    </row>
    <row r="185" spans="1:11" x14ac:dyDescent="0.35">
      <c r="A185">
        <v>184</v>
      </c>
      <c r="B185">
        <v>1966</v>
      </c>
      <c r="C185" s="1">
        <v>24304</v>
      </c>
      <c r="D185" t="s">
        <v>45</v>
      </c>
      <c r="E185" t="s">
        <v>22</v>
      </c>
      <c r="F185">
        <v>2</v>
      </c>
      <c r="G185">
        <v>0</v>
      </c>
      <c r="H185" t="s">
        <v>24</v>
      </c>
      <c r="I185" t="b">
        <v>1</v>
      </c>
      <c r="J185">
        <f t="shared" si="4"/>
        <v>2</v>
      </c>
      <c r="K185" t="str">
        <f t="shared" si="5"/>
        <v>Home Win</v>
      </c>
    </row>
    <row r="186" spans="1:11" x14ac:dyDescent="0.35">
      <c r="A186">
        <v>185</v>
      </c>
      <c r="B186">
        <v>1966</v>
      </c>
      <c r="C186" s="1">
        <v>24307</v>
      </c>
      <c r="D186" t="s">
        <v>45</v>
      </c>
      <c r="E186" t="s">
        <v>8</v>
      </c>
      <c r="F186">
        <v>0</v>
      </c>
      <c r="G186">
        <v>0</v>
      </c>
      <c r="H186" t="s">
        <v>24</v>
      </c>
      <c r="I186" t="b">
        <v>0</v>
      </c>
      <c r="J186">
        <f t="shared" si="4"/>
        <v>0</v>
      </c>
      <c r="K186" t="str">
        <f t="shared" si="5"/>
        <v>Draw</v>
      </c>
    </row>
    <row r="187" spans="1:11" x14ac:dyDescent="0.35">
      <c r="A187">
        <v>186</v>
      </c>
      <c r="B187">
        <v>1966</v>
      </c>
      <c r="C187" s="1">
        <v>24307</v>
      </c>
      <c r="D187" t="s">
        <v>45</v>
      </c>
      <c r="E187" t="s">
        <v>9</v>
      </c>
      <c r="F187">
        <v>2</v>
      </c>
      <c r="G187">
        <v>0</v>
      </c>
      <c r="H187" t="s">
        <v>18</v>
      </c>
      <c r="I187" t="b">
        <v>0</v>
      </c>
      <c r="J187">
        <f t="shared" si="4"/>
        <v>2</v>
      </c>
      <c r="K187" t="str">
        <f t="shared" si="5"/>
        <v>Home Win</v>
      </c>
    </row>
    <row r="188" spans="1:11" x14ac:dyDescent="0.35">
      <c r="A188">
        <v>187</v>
      </c>
      <c r="B188">
        <v>1966</v>
      </c>
      <c r="C188" s="1">
        <v>24307</v>
      </c>
      <c r="D188" t="s">
        <v>45</v>
      </c>
      <c r="E188" t="s">
        <v>23</v>
      </c>
      <c r="F188">
        <v>3</v>
      </c>
      <c r="G188">
        <v>1</v>
      </c>
      <c r="H188" t="s">
        <v>16</v>
      </c>
      <c r="I188" t="b">
        <v>0</v>
      </c>
      <c r="J188">
        <f t="shared" si="4"/>
        <v>4</v>
      </c>
      <c r="K188" t="str">
        <f t="shared" si="5"/>
        <v>Home Win</v>
      </c>
    </row>
    <row r="189" spans="1:11" x14ac:dyDescent="0.35">
      <c r="A189">
        <v>188</v>
      </c>
      <c r="B189">
        <v>1966</v>
      </c>
      <c r="C189" s="1">
        <v>24307</v>
      </c>
      <c r="D189" t="s">
        <v>45</v>
      </c>
      <c r="E189" t="s">
        <v>69</v>
      </c>
      <c r="F189">
        <v>1</v>
      </c>
      <c r="G189">
        <v>0</v>
      </c>
      <c r="H189" t="s">
        <v>11</v>
      </c>
      <c r="I189" t="b">
        <v>0</v>
      </c>
      <c r="J189">
        <f t="shared" si="4"/>
        <v>1</v>
      </c>
      <c r="K189" t="str">
        <f t="shared" si="5"/>
        <v>Home Win</v>
      </c>
    </row>
    <row r="190" spans="1:11" x14ac:dyDescent="0.35">
      <c r="A190">
        <v>189</v>
      </c>
      <c r="B190">
        <v>1966</v>
      </c>
      <c r="C190" s="1">
        <v>24308</v>
      </c>
      <c r="D190" t="s">
        <v>45</v>
      </c>
      <c r="E190" t="s">
        <v>22</v>
      </c>
      <c r="F190">
        <v>2</v>
      </c>
      <c r="G190">
        <v>0</v>
      </c>
      <c r="H190" t="s">
        <v>14</v>
      </c>
      <c r="I190" t="b">
        <v>1</v>
      </c>
      <c r="J190">
        <f t="shared" si="4"/>
        <v>2</v>
      </c>
      <c r="K190" t="str">
        <f t="shared" si="5"/>
        <v>Home Win</v>
      </c>
    </row>
    <row r="191" spans="1:11" x14ac:dyDescent="0.35">
      <c r="A191">
        <v>190</v>
      </c>
      <c r="B191">
        <v>1966</v>
      </c>
      <c r="C191" s="1">
        <v>24308</v>
      </c>
      <c r="D191" t="s">
        <v>45</v>
      </c>
      <c r="E191" t="s">
        <v>15</v>
      </c>
      <c r="F191">
        <v>3</v>
      </c>
      <c r="G191">
        <v>1</v>
      </c>
      <c r="H191" t="s">
        <v>68</v>
      </c>
      <c r="I191" t="b">
        <v>0</v>
      </c>
      <c r="J191">
        <f t="shared" si="4"/>
        <v>4</v>
      </c>
      <c r="K191" t="str">
        <f t="shared" si="5"/>
        <v>Home Win</v>
      </c>
    </row>
    <row r="192" spans="1:11" x14ac:dyDescent="0.35">
      <c r="A192">
        <v>191</v>
      </c>
      <c r="B192">
        <v>1966</v>
      </c>
      <c r="C192" s="1">
        <v>24308</v>
      </c>
      <c r="D192" t="s">
        <v>45</v>
      </c>
      <c r="E192" t="s">
        <v>13</v>
      </c>
      <c r="F192">
        <v>2</v>
      </c>
      <c r="G192">
        <v>1</v>
      </c>
      <c r="H192" t="s">
        <v>27</v>
      </c>
      <c r="I192" t="b">
        <v>0</v>
      </c>
      <c r="J192">
        <f t="shared" si="4"/>
        <v>3</v>
      </c>
      <c r="K192" t="str">
        <f t="shared" si="5"/>
        <v>Home Win</v>
      </c>
    </row>
    <row r="193" spans="1:11" x14ac:dyDescent="0.35">
      <c r="A193">
        <v>192</v>
      </c>
      <c r="B193">
        <v>1966</v>
      </c>
      <c r="C193" s="1">
        <v>24308</v>
      </c>
      <c r="D193" t="s">
        <v>45</v>
      </c>
      <c r="E193" t="s">
        <v>32</v>
      </c>
      <c r="F193">
        <v>2</v>
      </c>
      <c r="G193">
        <v>1</v>
      </c>
      <c r="H193" t="s">
        <v>21</v>
      </c>
      <c r="I193" t="b">
        <v>0</v>
      </c>
      <c r="J193">
        <f t="shared" si="4"/>
        <v>3</v>
      </c>
      <c r="K193" t="str">
        <f t="shared" si="5"/>
        <v>Home Win</v>
      </c>
    </row>
    <row r="194" spans="1:11" x14ac:dyDescent="0.35">
      <c r="A194">
        <v>193</v>
      </c>
      <c r="B194">
        <v>1966</v>
      </c>
      <c r="C194" s="1">
        <v>24311</v>
      </c>
      <c r="D194" t="s">
        <v>56</v>
      </c>
      <c r="E194" t="s">
        <v>22</v>
      </c>
      <c r="F194">
        <v>1</v>
      </c>
      <c r="G194">
        <v>0</v>
      </c>
      <c r="H194" t="s">
        <v>9</v>
      </c>
      <c r="I194" t="b">
        <v>1</v>
      </c>
      <c r="J194">
        <f t="shared" si="4"/>
        <v>1</v>
      </c>
      <c r="K194" t="str">
        <f t="shared" si="5"/>
        <v>Home Win</v>
      </c>
    </row>
    <row r="195" spans="1:11" x14ac:dyDescent="0.35">
      <c r="A195">
        <v>194</v>
      </c>
      <c r="B195">
        <v>1966</v>
      </c>
      <c r="C195" s="1">
        <v>24311</v>
      </c>
      <c r="D195" t="s">
        <v>56</v>
      </c>
      <c r="E195" t="s">
        <v>13</v>
      </c>
      <c r="F195">
        <v>4</v>
      </c>
      <c r="G195">
        <v>0</v>
      </c>
      <c r="H195" t="s">
        <v>8</v>
      </c>
      <c r="I195" t="b">
        <v>0</v>
      </c>
      <c r="J195">
        <f t="shared" ref="J195:J258" si="6">F:F+G:G</f>
        <v>4</v>
      </c>
      <c r="K195" t="str">
        <f t="shared" ref="K195:K258" si="7">IF(F195&gt;G195,"Home Win",IF(F195&lt;G195,"Away Win","Draw"))</f>
        <v>Home Win</v>
      </c>
    </row>
    <row r="196" spans="1:11" x14ac:dyDescent="0.35">
      <c r="A196">
        <v>195</v>
      </c>
      <c r="B196">
        <v>1966</v>
      </c>
      <c r="C196" s="1">
        <v>24311</v>
      </c>
      <c r="D196" t="s">
        <v>56</v>
      </c>
      <c r="E196" t="s">
        <v>32</v>
      </c>
      <c r="F196">
        <v>2</v>
      </c>
      <c r="G196">
        <v>1</v>
      </c>
      <c r="H196" t="s">
        <v>15</v>
      </c>
      <c r="I196" t="b">
        <v>0</v>
      </c>
      <c r="J196">
        <f t="shared" si="6"/>
        <v>3</v>
      </c>
      <c r="K196" t="str">
        <f t="shared" si="7"/>
        <v>Home Win</v>
      </c>
    </row>
    <row r="197" spans="1:11" x14ac:dyDescent="0.35">
      <c r="A197">
        <v>196</v>
      </c>
      <c r="B197">
        <v>1966</v>
      </c>
      <c r="C197" s="1">
        <v>24311</v>
      </c>
      <c r="D197" t="s">
        <v>56</v>
      </c>
      <c r="E197" t="s">
        <v>23</v>
      </c>
      <c r="F197">
        <v>5</v>
      </c>
      <c r="G197">
        <v>3</v>
      </c>
      <c r="H197" t="s">
        <v>69</v>
      </c>
      <c r="I197" t="b">
        <v>0</v>
      </c>
      <c r="J197">
        <f t="shared" si="6"/>
        <v>8</v>
      </c>
      <c r="K197" t="str">
        <f t="shared" si="7"/>
        <v>Home Win</v>
      </c>
    </row>
    <row r="198" spans="1:11" x14ac:dyDescent="0.35">
      <c r="A198">
        <v>197</v>
      </c>
      <c r="B198">
        <v>1966</v>
      </c>
      <c r="C198" s="1">
        <v>24313</v>
      </c>
      <c r="D198" t="s">
        <v>52</v>
      </c>
      <c r="E198" t="s">
        <v>13</v>
      </c>
      <c r="F198">
        <v>2</v>
      </c>
      <c r="G198">
        <v>1</v>
      </c>
      <c r="H198" t="s">
        <v>32</v>
      </c>
      <c r="I198" t="b">
        <v>0</v>
      </c>
      <c r="J198">
        <f t="shared" si="6"/>
        <v>3</v>
      </c>
      <c r="K198" t="str">
        <f t="shared" si="7"/>
        <v>Home Win</v>
      </c>
    </row>
    <row r="199" spans="1:11" x14ac:dyDescent="0.35">
      <c r="A199">
        <v>198</v>
      </c>
      <c r="B199">
        <v>1966</v>
      </c>
      <c r="C199" s="1">
        <v>24314</v>
      </c>
      <c r="D199" t="s">
        <v>52</v>
      </c>
      <c r="E199" t="s">
        <v>22</v>
      </c>
      <c r="F199">
        <v>2</v>
      </c>
      <c r="G199">
        <v>1</v>
      </c>
      <c r="H199" t="s">
        <v>23</v>
      </c>
      <c r="I199" t="b">
        <v>1</v>
      </c>
      <c r="J199">
        <f t="shared" si="6"/>
        <v>3</v>
      </c>
      <c r="K199" t="str">
        <f t="shared" si="7"/>
        <v>Home Win</v>
      </c>
    </row>
    <row r="200" spans="1:11" x14ac:dyDescent="0.35">
      <c r="A200">
        <v>199</v>
      </c>
      <c r="B200">
        <v>1966</v>
      </c>
      <c r="C200" s="1">
        <v>24316</v>
      </c>
      <c r="D200" t="s">
        <v>57</v>
      </c>
      <c r="E200" t="s">
        <v>23</v>
      </c>
      <c r="F200">
        <v>2</v>
      </c>
      <c r="G200">
        <v>1</v>
      </c>
      <c r="H200" t="s">
        <v>32</v>
      </c>
      <c r="I200" t="b">
        <v>0</v>
      </c>
      <c r="J200">
        <f t="shared" si="6"/>
        <v>3</v>
      </c>
      <c r="K200" t="str">
        <f t="shared" si="7"/>
        <v>Home Win</v>
      </c>
    </row>
    <row r="201" spans="1:11" x14ac:dyDescent="0.35">
      <c r="A201">
        <v>200</v>
      </c>
      <c r="B201">
        <v>1966</v>
      </c>
      <c r="C201" s="1">
        <v>24318</v>
      </c>
      <c r="D201" t="s">
        <v>53</v>
      </c>
      <c r="E201" t="s">
        <v>22</v>
      </c>
      <c r="F201">
        <v>4</v>
      </c>
      <c r="G201">
        <v>2</v>
      </c>
      <c r="H201" t="s">
        <v>13</v>
      </c>
      <c r="I201" t="b">
        <v>1</v>
      </c>
      <c r="J201">
        <f t="shared" si="6"/>
        <v>6</v>
      </c>
      <c r="K201" t="str">
        <f t="shared" si="7"/>
        <v>Home Win</v>
      </c>
    </row>
    <row r="202" spans="1:11" x14ac:dyDescent="0.35">
      <c r="A202">
        <v>201</v>
      </c>
      <c r="B202">
        <v>1970</v>
      </c>
      <c r="C202" s="1">
        <v>25719</v>
      </c>
      <c r="D202" t="s">
        <v>45</v>
      </c>
      <c r="E202" t="s">
        <v>24</v>
      </c>
      <c r="F202">
        <v>0</v>
      </c>
      <c r="G202">
        <v>0</v>
      </c>
      <c r="H202" t="s">
        <v>32</v>
      </c>
      <c r="I202" t="b">
        <v>1</v>
      </c>
      <c r="J202">
        <f t="shared" si="6"/>
        <v>0</v>
      </c>
      <c r="K202" t="str">
        <f t="shared" si="7"/>
        <v>Draw</v>
      </c>
    </row>
    <row r="203" spans="1:11" x14ac:dyDescent="0.35">
      <c r="A203">
        <v>202</v>
      </c>
      <c r="B203">
        <v>1970</v>
      </c>
      <c r="C203" s="1">
        <v>25721</v>
      </c>
      <c r="D203" t="s">
        <v>45</v>
      </c>
      <c r="E203" t="s">
        <v>8</v>
      </c>
      <c r="F203">
        <v>2</v>
      </c>
      <c r="G203">
        <v>0</v>
      </c>
      <c r="H203" t="s">
        <v>70</v>
      </c>
      <c r="I203" t="b">
        <v>0</v>
      </c>
      <c r="J203">
        <f t="shared" si="6"/>
        <v>2</v>
      </c>
      <c r="K203" t="str">
        <f t="shared" si="7"/>
        <v>Home Win</v>
      </c>
    </row>
    <row r="204" spans="1:11" x14ac:dyDescent="0.35">
      <c r="A204">
        <v>203</v>
      </c>
      <c r="B204">
        <v>1970</v>
      </c>
      <c r="C204" s="1">
        <v>25721</v>
      </c>
      <c r="D204" t="s">
        <v>45</v>
      </c>
      <c r="E204" t="s">
        <v>49</v>
      </c>
      <c r="F204">
        <v>3</v>
      </c>
      <c r="G204">
        <v>2</v>
      </c>
      <c r="H204" t="s">
        <v>68</v>
      </c>
      <c r="I204" t="b">
        <v>0</v>
      </c>
      <c r="J204">
        <f t="shared" si="6"/>
        <v>5</v>
      </c>
      <c r="K204" t="str">
        <f t="shared" si="7"/>
        <v>Home Win</v>
      </c>
    </row>
    <row r="205" spans="1:11" x14ac:dyDescent="0.35">
      <c r="A205">
        <v>204</v>
      </c>
      <c r="B205">
        <v>1970</v>
      </c>
      <c r="C205" s="1">
        <v>25721</v>
      </c>
      <c r="D205" t="s">
        <v>45</v>
      </c>
      <c r="E205" t="s">
        <v>22</v>
      </c>
      <c r="F205">
        <v>1</v>
      </c>
      <c r="G205">
        <v>0</v>
      </c>
      <c r="H205" t="s">
        <v>48</v>
      </c>
      <c r="I205" t="b">
        <v>0</v>
      </c>
      <c r="J205">
        <f t="shared" si="6"/>
        <v>1</v>
      </c>
      <c r="K205" t="str">
        <f t="shared" si="7"/>
        <v>Home Win</v>
      </c>
    </row>
    <row r="206" spans="1:11" x14ac:dyDescent="0.35">
      <c r="A206">
        <v>205</v>
      </c>
      <c r="B206">
        <v>1970</v>
      </c>
      <c r="C206" s="1">
        <v>25722</v>
      </c>
      <c r="D206" t="s">
        <v>45</v>
      </c>
      <c r="E206" t="s">
        <v>11</v>
      </c>
      <c r="F206">
        <v>1</v>
      </c>
      <c r="G206">
        <v>0</v>
      </c>
      <c r="H206" t="s">
        <v>17</v>
      </c>
      <c r="I206" t="b">
        <v>0</v>
      </c>
      <c r="J206">
        <f t="shared" si="6"/>
        <v>1</v>
      </c>
      <c r="K206" t="str">
        <f t="shared" si="7"/>
        <v>Home Win</v>
      </c>
    </row>
    <row r="207" spans="1:11" x14ac:dyDescent="0.35">
      <c r="A207">
        <v>206</v>
      </c>
      <c r="B207">
        <v>1970</v>
      </c>
      <c r="C207" s="1">
        <v>25722</v>
      </c>
      <c r="D207" t="s">
        <v>45</v>
      </c>
      <c r="E207" t="s">
        <v>13</v>
      </c>
      <c r="F207">
        <v>2</v>
      </c>
      <c r="G207">
        <v>1</v>
      </c>
      <c r="H207" t="s">
        <v>71</v>
      </c>
      <c r="I207" t="b">
        <v>0</v>
      </c>
      <c r="J207">
        <f t="shared" si="6"/>
        <v>3</v>
      </c>
      <c r="K207" t="str">
        <f t="shared" si="7"/>
        <v>Home Win</v>
      </c>
    </row>
    <row r="208" spans="1:11" x14ac:dyDescent="0.35">
      <c r="A208">
        <v>207</v>
      </c>
      <c r="B208">
        <v>1970</v>
      </c>
      <c r="C208" s="1">
        <v>25722</v>
      </c>
      <c r="D208" t="s">
        <v>45</v>
      </c>
      <c r="E208" t="s">
        <v>16</v>
      </c>
      <c r="F208">
        <v>4</v>
      </c>
      <c r="G208">
        <v>1</v>
      </c>
      <c r="H208" t="s">
        <v>12</v>
      </c>
      <c r="I208" t="b">
        <v>0</v>
      </c>
      <c r="J208">
        <f t="shared" si="6"/>
        <v>5</v>
      </c>
      <c r="K208" t="str">
        <f t="shared" si="7"/>
        <v>Home Win</v>
      </c>
    </row>
    <row r="209" spans="1:11" x14ac:dyDescent="0.35">
      <c r="A209">
        <v>208</v>
      </c>
      <c r="B209">
        <v>1970</v>
      </c>
      <c r="C209" s="1">
        <v>25722</v>
      </c>
      <c r="D209" t="s">
        <v>45</v>
      </c>
      <c r="E209" t="s">
        <v>33</v>
      </c>
      <c r="F209">
        <v>3</v>
      </c>
      <c r="G209">
        <v>0</v>
      </c>
      <c r="H209" t="s">
        <v>72</v>
      </c>
      <c r="I209" t="b">
        <v>0</v>
      </c>
      <c r="J209">
        <f t="shared" si="6"/>
        <v>3</v>
      </c>
      <c r="K209" t="str">
        <f t="shared" si="7"/>
        <v>Home Win</v>
      </c>
    </row>
    <row r="210" spans="1:11" x14ac:dyDescent="0.35">
      <c r="A210">
        <v>209</v>
      </c>
      <c r="B210">
        <v>1970</v>
      </c>
      <c r="C210" s="1">
        <v>25725</v>
      </c>
      <c r="D210" t="s">
        <v>45</v>
      </c>
      <c r="E210" t="s">
        <v>8</v>
      </c>
      <c r="F210">
        <v>0</v>
      </c>
      <c r="G210">
        <v>0</v>
      </c>
      <c r="H210" t="s">
        <v>11</v>
      </c>
      <c r="I210" t="b">
        <v>0</v>
      </c>
      <c r="J210">
        <f t="shared" si="6"/>
        <v>0</v>
      </c>
      <c r="K210" t="str">
        <f t="shared" si="7"/>
        <v>Draw</v>
      </c>
    </row>
    <row r="211" spans="1:11" x14ac:dyDescent="0.35">
      <c r="A211">
        <v>210</v>
      </c>
      <c r="B211">
        <v>1970</v>
      </c>
      <c r="C211" s="1">
        <v>25725</v>
      </c>
      <c r="D211" t="s">
        <v>45</v>
      </c>
      <c r="E211" t="s">
        <v>49</v>
      </c>
      <c r="F211">
        <v>3</v>
      </c>
      <c r="G211">
        <v>0</v>
      </c>
      <c r="H211" t="s">
        <v>71</v>
      </c>
      <c r="I211" t="b">
        <v>0</v>
      </c>
      <c r="J211">
        <f t="shared" si="6"/>
        <v>3</v>
      </c>
      <c r="K211" t="str">
        <f t="shared" si="7"/>
        <v>Home Win</v>
      </c>
    </row>
    <row r="212" spans="1:11" x14ac:dyDescent="0.35">
      <c r="A212">
        <v>211</v>
      </c>
      <c r="B212">
        <v>1970</v>
      </c>
      <c r="C212" s="1">
        <v>25725</v>
      </c>
      <c r="D212" t="s">
        <v>45</v>
      </c>
      <c r="E212" t="s">
        <v>48</v>
      </c>
      <c r="F212">
        <v>2</v>
      </c>
      <c r="G212">
        <v>1</v>
      </c>
      <c r="H212" t="s">
        <v>12</v>
      </c>
      <c r="I212" t="b">
        <v>0</v>
      </c>
      <c r="J212">
        <f t="shared" si="6"/>
        <v>3</v>
      </c>
      <c r="K212" t="str">
        <f t="shared" si="7"/>
        <v>Home Win</v>
      </c>
    </row>
    <row r="213" spans="1:11" x14ac:dyDescent="0.35">
      <c r="A213">
        <v>212</v>
      </c>
      <c r="B213">
        <v>1970</v>
      </c>
      <c r="C213" s="1">
        <v>25725</v>
      </c>
      <c r="D213" t="s">
        <v>45</v>
      </c>
      <c r="E213" t="s">
        <v>32</v>
      </c>
      <c r="F213">
        <v>4</v>
      </c>
      <c r="G213">
        <v>1</v>
      </c>
      <c r="H213" t="s">
        <v>33</v>
      </c>
      <c r="I213" t="b">
        <v>0</v>
      </c>
      <c r="J213">
        <f t="shared" si="6"/>
        <v>5</v>
      </c>
      <c r="K213" t="str">
        <f t="shared" si="7"/>
        <v>Home Win</v>
      </c>
    </row>
    <row r="214" spans="1:11" x14ac:dyDescent="0.35">
      <c r="A214">
        <v>213</v>
      </c>
      <c r="B214">
        <v>1970</v>
      </c>
      <c r="C214" s="1">
        <v>25726</v>
      </c>
      <c r="D214" t="s">
        <v>45</v>
      </c>
      <c r="E214" t="s">
        <v>17</v>
      </c>
      <c r="F214">
        <v>1</v>
      </c>
      <c r="G214">
        <v>1</v>
      </c>
      <c r="H214" t="s">
        <v>70</v>
      </c>
      <c r="I214" t="b">
        <v>0</v>
      </c>
      <c r="J214">
        <f t="shared" si="6"/>
        <v>2</v>
      </c>
      <c r="K214" t="str">
        <f t="shared" si="7"/>
        <v>Draw</v>
      </c>
    </row>
    <row r="215" spans="1:11" x14ac:dyDescent="0.35">
      <c r="A215">
        <v>214</v>
      </c>
      <c r="B215">
        <v>1970</v>
      </c>
      <c r="C215" s="1">
        <v>25726</v>
      </c>
      <c r="D215" t="s">
        <v>45</v>
      </c>
      <c r="E215" t="s">
        <v>13</v>
      </c>
      <c r="F215">
        <v>5</v>
      </c>
      <c r="G215">
        <v>2</v>
      </c>
      <c r="H215" t="s">
        <v>68</v>
      </c>
      <c r="I215" t="b">
        <v>0</v>
      </c>
      <c r="J215">
        <f t="shared" si="6"/>
        <v>7</v>
      </c>
      <c r="K215" t="str">
        <f t="shared" si="7"/>
        <v>Home Win</v>
      </c>
    </row>
    <row r="216" spans="1:11" x14ac:dyDescent="0.35">
      <c r="A216">
        <v>215</v>
      </c>
      <c r="B216">
        <v>1970</v>
      </c>
      <c r="C216" s="1">
        <v>25726</v>
      </c>
      <c r="D216" t="s">
        <v>45</v>
      </c>
      <c r="E216" t="s">
        <v>16</v>
      </c>
      <c r="F216">
        <v>1</v>
      </c>
      <c r="G216">
        <v>0</v>
      </c>
      <c r="H216" t="s">
        <v>22</v>
      </c>
      <c r="I216" t="b">
        <v>0</v>
      </c>
      <c r="J216">
        <f t="shared" si="6"/>
        <v>1</v>
      </c>
      <c r="K216" t="str">
        <f t="shared" si="7"/>
        <v>Home Win</v>
      </c>
    </row>
    <row r="217" spans="1:11" x14ac:dyDescent="0.35">
      <c r="A217">
        <v>216</v>
      </c>
      <c r="B217">
        <v>1970</v>
      </c>
      <c r="C217" s="1">
        <v>25726</v>
      </c>
      <c r="D217" t="s">
        <v>45</v>
      </c>
      <c r="E217" t="s">
        <v>24</v>
      </c>
      <c r="F217">
        <v>4</v>
      </c>
      <c r="G217">
        <v>0</v>
      </c>
      <c r="H217" t="s">
        <v>72</v>
      </c>
      <c r="I217" t="b">
        <v>1</v>
      </c>
      <c r="J217">
        <f t="shared" si="6"/>
        <v>4</v>
      </c>
      <c r="K217" t="str">
        <f t="shared" si="7"/>
        <v>Home Win</v>
      </c>
    </row>
    <row r="218" spans="1:11" x14ac:dyDescent="0.35">
      <c r="A218">
        <v>217</v>
      </c>
      <c r="B218">
        <v>1970</v>
      </c>
      <c r="C218" s="1">
        <v>25729</v>
      </c>
      <c r="D218" t="s">
        <v>45</v>
      </c>
      <c r="E218" t="s">
        <v>17</v>
      </c>
      <c r="F218">
        <v>1</v>
      </c>
      <c r="G218">
        <v>0</v>
      </c>
      <c r="H218" t="s">
        <v>8</v>
      </c>
      <c r="I218" t="b">
        <v>0</v>
      </c>
      <c r="J218">
        <f t="shared" si="6"/>
        <v>1</v>
      </c>
      <c r="K218" t="str">
        <f t="shared" si="7"/>
        <v>Home Win</v>
      </c>
    </row>
    <row r="219" spans="1:11" x14ac:dyDescent="0.35">
      <c r="A219">
        <v>218</v>
      </c>
      <c r="B219">
        <v>1970</v>
      </c>
      <c r="C219" s="1">
        <v>25729</v>
      </c>
      <c r="D219" t="s">
        <v>45</v>
      </c>
      <c r="E219" t="s">
        <v>13</v>
      </c>
      <c r="F219">
        <v>3</v>
      </c>
      <c r="G219">
        <v>1</v>
      </c>
      <c r="H219" t="s">
        <v>49</v>
      </c>
      <c r="I219" t="b">
        <v>0</v>
      </c>
      <c r="J219">
        <f t="shared" si="6"/>
        <v>4</v>
      </c>
      <c r="K219" t="str">
        <f t="shared" si="7"/>
        <v>Home Win</v>
      </c>
    </row>
    <row r="220" spans="1:11" x14ac:dyDescent="0.35">
      <c r="A220">
        <v>219</v>
      </c>
      <c r="B220">
        <v>1970</v>
      </c>
      <c r="C220" s="1">
        <v>25729</v>
      </c>
      <c r="D220" t="s">
        <v>45</v>
      </c>
      <c r="E220" t="s">
        <v>16</v>
      </c>
      <c r="F220">
        <v>3</v>
      </c>
      <c r="G220">
        <v>2</v>
      </c>
      <c r="H220" t="s">
        <v>48</v>
      </c>
      <c r="I220" t="b">
        <v>0</v>
      </c>
      <c r="J220">
        <f t="shared" si="6"/>
        <v>5</v>
      </c>
      <c r="K220" t="str">
        <f t="shared" si="7"/>
        <v>Home Win</v>
      </c>
    </row>
    <row r="221" spans="1:11" x14ac:dyDescent="0.35">
      <c r="A221">
        <v>220</v>
      </c>
      <c r="B221">
        <v>1970</v>
      </c>
      <c r="C221" s="1">
        <v>25729</v>
      </c>
      <c r="D221" t="s">
        <v>45</v>
      </c>
      <c r="E221" t="s">
        <v>32</v>
      </c>
      <c r="F221">
        <v>2</v>
      </c>
      <c r="G221">
        <v>0</v>
      </c>
      <c r="H221" t="s">
        <v>72</v>
      </c>
      <c r="I221" t="b">
        <v>0</v>
      </c>
      <c r="J221">
        <f t="shared" si="6"/>
        <v>2</v>
      </c>
      <c r="K221" t="str">
        <f t="shared" si="7"/>
        <v>Home Win</v>
      </c>
    </row>
    <row r="222" spans="1:11" x14ac:dyDescent="0.35">
      <c r="A222">
        <v>221</v>
      </c>
      <c r="B222">
        <v>1970</v>
      </c>
      <c r="C222" s="1">
        <v>25730</v>
      </c>
      <c r="D222" t="s">
        <v>45</v>
      </c>
      <c r="E222" t="s">
        <v>11</v>
      </c>
      <c r="F222">
        <v>0</v>
      </c>
      <c r="G222">
        <v>0</v>
      </c>
      <c r="H222" t="s">
        <v>70</v>
      </c>
      <c r="I222" t="b">
        <v>0</v>
      </c>
      <c r="J222">
        <f t="shared" si="6"/>
        <v>0</v>
      </c>
      <c r="K222" t="str">
        <f t="shared" si="7"/>
        <v>Draw</v>
      </c>
    </row>
    <row r="223" spans="1:11" x14ac:dyDescent="0.35">
      <c r="A223">
        <v>222</v>
      </c>
      <c r="B223">
        <v>1970</v>
      </c>
      <c r="C223" s="1">
        <v>25730</v>
      </c>
      <c r="D223" t="s">
        <v>45</v>
      </c>
      <c r="E223" t="s">
        <v>68</v>
      </c>
      <c r="F223">
        <v>1</v>
      </c>
      <c r="G223">
        <v>1</v>
      </c>
      <c r="H223" t="s">
        <v>71</v>
      </c>
      <c r="I223" t="b">
        <v>0</v>
      </c>
      <c r="J223">
        <f t="shared" si="6"/>
        <v>2</v>
      </c>
      <c r="K223" t="str">
        <f t="shared" si="7"/>
        <v>Draw</v>
      </c>
    </row>
    <row r="224" spans="1:11" x14ac:dyDescent="0.35">
      <c r="A224">
        <v>223</v>
      </c>
      <c r="B224">
        <v>1970</v>
      </c>
      <c r="C224" s="1">
        <v>25730</v>
      </c>
      <c r="D224" t="s">
        <v>45</v>
      </c>
      <c r="E224" t="s">
        <v>22</v>
      </c>
      <c r="F224">
        <v>1</v>
      </c>
      <c r="G224">
        <v>0</v>
      </c>
      <c r="H224" t="s">
        <v>12</v>
      </c>
      <c r="I224" t="b">
        <v>0</v>
      </c>
      <c r="J224">
        <f t="shared" si="6"/>
        <v>1</v>
      </c>
      <c r="K224" t="str">
        <f t="shared" si="7"/>
        <v>Home Win</v>
      </c>
    </row>
    <row r="225" spans="1:11" x14ac:dyDescent="0.35">
      <c r="A225">
        <v>224</v>
      </c>
      <c r="B225">
        <v>1970</v>
      </c>
      <c r="C225" s="1">
        <v>25730</v>
      </c>
      <c r="D225" t="s">
        <v>45</v>
      </c>
      <c r="E225" t="s">
        <v>24</v>
      </c>
      <c r="F225">
        <v>1</v>
      </c>
      <c r="G225">
        <v>0</v>
      </c>
      <c r="H225" t="s">
        <v>33</v>
      </c>
      <c r="I225" t="b">
        <v>1</v>
      </c>
      <c r="J225">
        <f t="shared" si="6"/>
        <v>1</v>
      </c>
      <c r="K225" t="str">
        <f t="shared" si="7"/>
        <v>Home Win</v>
      </c>
    </row>
    <row r="226" spans="1:11" x14ac:dyDescent="0.35">
      <c r="A226">
        <v>225</v>
      </c>
      <c r="B226">
        <v>1970</v>
      </c>
      <c r="C226" s="1">
        <v>25733</v>
      </c>
      <c r="D226" t="s">
        <v>56</v>
      </c>
      <c r="E226" t="s">
        <v>24</v>
      </c>
      <c r="F226">
        <v>1</v>
      </c>
      <c r="G226">
        <v>4</v>
      </c>
      <c r="H226" t="s">
        <v>11</v>
      </c>
      <c r="I226" t="b">
        <v>1</v>
      </c>
      <c r="J226">
        <f t="shared" si="6"/>
        <v>5</v>
      </c>
      <c r="K226" t="str">
        <f t="shared" si="7"/>
        <v>Away Win</v>
      </c>
    </row>
    <row r="227" spans="1:11" x14ac:dyDescent="0.35">
      <c r="A227">
        <v>226</v>
      </c>
      <c r="B227">
        <v>1970</v>
      </c>
      <c r="C227" s="1">
        <v>25733</v>
      </c>
      <c r="D227" t="s">
        <v>56</v>
      </c>
      <c r="E227" t="s">
        <v>13</v>
      </c>
      <c r="F227">
        <v>3</v>
      </c>
      <c r="G227">
        <v>2</v>
      </c>
      <c r="H227" t="s">
        <v>22</v>
      </c>
      <c r="I227" t="b">
        <v>0</v>
      </c>
      <c r="J227">
        <f t="shared" si="6"/>
        <v>5</v>
      </c>
      <c r="K227" t="str">
        <f t="shared" si="7"/>
        <v>Home Win</v>
      </c>
    </row>
    <row r="228" spans="1:11" x14ac:dyDescent="0.35">
      <c r="A228">
        <v>227</v>
      </c>
      <c r="B228">
        <v>1970</v>
      </c>
      <c r="C228" s="1">
        <v>25733</v>
      </c>
      <c r="D228" t="s">
        <v>56</v>
      </c>
      <c r="E228" t="s">
        <v>16</v>
      </c>
      <c r="F228">
        <v>4</v>
      </c>
      <c r="G228">
        <v>2</v>
      </c>
      <c r="H228" t="s">
        <v>49</v>
      </c>
      <c r="I228" t="b">
        <v>0</v>
      </c>
      <c r="J228">
        <f t="shared" si="6"/>
        <v>6</v>
      </c>
      <c r="K228" t="str">
        <f t="shared" si="7"/>
        <v>Home Win</v>
      </c>
    </row>
    <row r="229" spans="1:11" x14ac:dyDescent="0.35">
      <c r="A229">
        <v>228</v>
      </c>
      <c r="B229">
        <v>1970</v>
      </c>
      <c r="C229" s="1">
        <v>25733</v>
      </c>
      <c r="D229" t="s">
        <v>56</v>
      </c>
      <c r="E229" t="s">
        <v>8</v>
      </c>
      <c r="F229">
        <v>1</v>
      </c>
      <c r="G229">
        <v>0</v>
      </c>
      <c r="H229" t="s">
        <v>32</v>
      </c>
      <c r="I229" t="b">
        <v>0</v>
      </c>
      <c r="J229">
        <f t="shared" si="6"/>
        <v>1</v>
      </c>
      <c r="K229" t="str">
        <f t="shared" si="7"/>
        <v>Home Win</v>
      </c>
    </row>
    <row r="230" spans="1:11" x14ac:dyDescent="0.35">
      <c r="A230">
        <v>229</v>
      </c>
      <c r="B230">
        <v>1970</v>
      </c>
      <c r="C230" s="1">
        <v>25736</v>
      </c>
      <c r="D230" t="s">
        <v>52</v>
      </c>
      <c r="E230" t="s">
        <v>16</v>
      </c>
      <c r="F230">
        <v>3</v>
      </c>
      <c r="G230">
        <v>1</v>
      </c>
      <c r="H230" t="s">
        <v>8</v>
      </c>
      <c r="I230" t="b">
        <v>0</v>
      </c>
      <c r="J230">
        <f t="shared" si="6"/>
        <v>4</v>
      </c>
      <c r="K230" t="str">
        <f t="shared" si="7"/>
        <v>Home Win</v>
      </c>
    </row>
    <row r="231" spans="1:11" x14ac:dyDescent="0.35">
      <c r="A231">
        <v>230</v>
      </c>
      <c r="B231">
        <v>1970</v>
      </c>
      <c r="C231" s="1">
        <v>25736</v>
      </c>
      <c r="D231" t="s">
        <v>52</v>
      </c>
      <c r="E231" t="s">
        <v>11</v>
      </c>
      <c r="F231">
        <v>4</v>
      </c>
      <c r="G231">
        <v>3</v>
      </c>
      <c r="H231" t="s">
        <v>13</v>
      </c>
      <c r="I231" t="b">
        <v>0</v>
      </c>
      <c r="J231">
        <f t="shared" si="6"/>
        <v>7</v>
      </c>
      <c r="K231" t="str">
        <f t="shared" si="7"/>
        <v>Home Win</v>
      </c>
    </row>
    <row r="232" spans="1:11" x14ac:dyDescent="0.35">
      <c r="A232">
        <v>231</v>
      </c>
      <c r="B232">
        <v>1970</v>
      </c>
      <c r="C232" s="1">
        <v>25739</v>
      </c>
      <c r="D232" t="s">
        <v>57</v>
      </c>
      <c r="E232" t="s">
        <v>13</v>
      </c>
      <c r="F232">
        <v>1</v>
      </c>
      <c r="G232">
        <v>0</v>
      </c>
      <c r="H232" t="s">
        <v>8</v>
      </c>
      <c r="I232" t="b">
        <v>0</v>
      </c>
      <c r="J232">
        <f t="shared" si="6"/>
        <v>1</v>
      </c>
      <c r="K232" t="str">
        <f t="shared" si="7"/>
        <v>Home Win</v>
      </c>
    </row>
    <row r="233" spans="1:11" x14ac:dyDescent="0.35">
      <c r="A233">
        <v>232</v>
      </c>
      <c r="B233">
        <v>1970</v>
      </c>
      <c r="C233" s="1">
        <v>25740</v>
      </c>
      <c r="D233" t="s">
        <v>53</v>
      </c>
      <c r="E233" t="s">
        <v>16</v>
      </c>
      <c r="F233">
        <v>4</v>
      </c>
      <c r="G233">
        <v>1</v>
      </c>
      <c r="H233" t="s">
        <v>11</v>
      </c>
      <c r="I233" t="b">
        <v>0</v>
      </c>
      <c r="J233">
        <f t="shared" si="6"/>
        <v>5</v>
      </c>
      <c r="K233" t="str">
        <f t="shared" si="7"/>
        <v>Home Win</v>
      </c>
    </row>
    <row r="234" spans="1:11" x14ac:dyDescent="0.35">
      <c r="A234">
        <v>233</v>
      </c>
      <c r="B234">
        <v>1974</v>
      </c>
      <c r="C234" s="1">
        <v>27193</v>
      </c>
      <c r="D234" t="s">
        <v>73</v>
      </c>
      <c r="E234" t="s">
        <v>16</v>
      </c>
      <c r="F234">
        <v>0</v>
      </c>
      <c r="G234">
        <v>0</v>
      </c>
      <c r="H234" t="s">
        <v>47</v>
      </c>
      <c r="I234" t="b">
        <v>0</v>
      </c>
      <c r="J234">
        <f t="shared" si="6"/>
        <v>0</v>
      </c>
      <c r="K234" t="str">
        <f t="shared" si="7"/>
        <v>Draw</v>
      </c>
    </row>
    <row r="235" spans="1:11" x14ac:dyDescent="0.35">
      <c r="A235">
        <v>234</v>
      </c>
      <c r="B235">
        <v>1974</v>
      </c>
      <c r="C235" s="1">
        <v>27194</v>
      </c>
      <c r="D235" t="s">
        <v>73</v>
      </c>
      <c r="E235" t="s">
        <v>13</v>
      </c>
      <c r="F235">
        <v>1</v>
      </c>
      <c r="G235">
        <v>0</v>
      </c>
      <c r="H235" t="s">
        <v>21</v>
      </c>
      <c r="I235" t="b">
        <v>1</v>
      </c>
      <c r="J235">
        <f t="shared" si="6"/>
        <v>1</v>
      </c>
      <c r="K235" t="str">
        <f t="shared" si="7"/>
        <v>Home Win</v>
      </c>
    </row>
    <row r="236" spans="1:11" x14ac:dyDescent="0.35">
      <c r="A236">
        <v>235</v>
      </c>
      <c r="B236">
        <v>1974</v>
      </c>
      <c r="C236" s="1">
        <v>27194</v>
      </c>
      <c r="D236" t="s">
        <v>73</v>
      </c>
      <c r="E236" t="s">
        <v>74</v>
      </c>
      <c r="F236">
        <v>2</v>
      </c>
      <c r="G236">
        <v>0</v>
      </c>
      <c r="H236" t="s">
        <v>75</v>
      </c>
      <c r="I236" t="b">
        <v>0</v>
      </c>
      <c r="J236">
        <f t="shared" si="6"/>
        <v>2</v>
      </c>
      <c r="K236" t="str">
        <f t="shared" si="7"/>
        <v>Home Win</v>
      </c>
    </row>
    <row r="237" spans="1:11" x14ac:dyDescent="0.35">
      <c r="A237">
        <v>236</v>
      </c>
      <c r="B237">
        <v>1974</v>
      </c>
      <c r="C237" s="1">
        <v>27194</v>
      </c>
      <c r="D237" t="s">
        <v>73</v>
      </c>
      <c r="E237" t="s">
        <v>76</v>
      </c>
      <c r="F237">
        <v>0</v>
      </c>
      <c r="G237">
        <v>2</v>
      </c>
      <c r="H237" t="s">
        <v>63</v>
      </c>
      <c r="I237" t="b">
        <v>0</v>
      </c>
      <c r="J237">
        <f t="shared" si="6"/>
        <v>2</v>
      </c>
      <c r="K237" t="str">
        <f t="shared" si="7"/>
        <v>Away Win</v>
      </c>
    </row>
    <row r="238" spans="1:11" x14ac:dyDescent="0.35">
      <c r="A238">
        <v>237</v>
      </c>
      <c r="B238">
        <v>1974</v>
      </c>
      <c r="C238" s="1">
        <v>27195</v>
      </c>
      <c r="D238" t="s">
        <v>73</v>
      </c>
      <c r="E238" t="s">
        <v>8</v>
      </c>
      <c r="F238">
        <v>0</v>
      </c>
      <c r="G238">
        <v>2</v>
      </c>
      <c r="H238" t="s">
        <v>25</v>
      </c>
      <c r="I238" t="b">
        <v>0</v>
      </c>
      <c r="J238">
        <f t="shared" si="6"/>
        <v>2</v>
      </c>
      <c r="K238" t="str">
        <f t="shared" si="7"/>
        <v>Away Win</v>
      </c>
    </row>
    <row r="239" spans="1:11" x14ac:dyDescent="0.35">
      <c r="A239">
        <v>238</v>
      </c>
      <c r="B239">
        <v>1974</v>
      </c>
      <c r="C239" s="1">
        <v>27195</v>
      </c>
      <c r="D239" t="s">
        <v>73</v>
      </c>
      <c r="E239" t="s">
        <v>17</v>
      </c>
      <c r="F239">
        <v>0</v>
      </c>
      <c r="G239">
        <v>0</v>
      </c>
      <c r="H239" t="s">
        <v>68</v>
      </c>
      <c r="I239" t="b">
        <v>0</v>
      </c>
      <c r="J239">
        <f t="shared" si="6"/>
        <v>0</v>
      </c>
      <c r="K239" t="str">
        <f t="shared" si="7"/>
        <v>Draw</v>
      </c>
    </row>
    <row r="240" spans="1:11" x14ac:dyDescent="0.35">
      <c r="A240">
        <v>239</v>
      </c>
      <c r="B240">
        <v>1974</v>
      </c>
      <c r="C240" s="1">
        <v>27195</v>
      </c>
      <c r="D240" t="s">
        <v>73</v>
      </c>
      <c r="E240" t="s">
        <v>11</v>
      </c>
      <c r="F240">
        <v>3</v>
      </c>
      <c r="G240">
        <v>1</v>
      </c>
      <c r="H240" t="s">
        <v>77</v>
      </c>
      <c r="I240" t="b">
        <v>0</v>
      </c>
      <c r="J240">
        <f t="shared" si="6"/>
        <v>4</v>
      </c>
      <c r="K240" t="str">
        <f t="shared" si="7"/>
        <v>Home Win</v>
      </c>
    </row>
    <row r="241" spans="1:11" x14ac:dyDescent="0.35">
      <c r="A241">
        <v>240</v>
      </c>
      <c r="B241">
        <v>1974</v>
      </c>
      <c r="C241" s="1">
        <v>27195</v>
      </c>
      <c r="D241" t="s">
        <v>73</v>
      </c>
      <c r="E241" t="s">
        <v>26</v>
      </c>
      <c r="F241">
        <v>3</v>
      </c>
      <c r="G241">
        <v>2</v>
      </c>
      <c r="H241" t="s">
        <v>9</v>
      </c>
      <c r="I241" t="b">
        <v>0</v>
      </c>
      <c r="J241">
        <f t="shared" si="6"/>
        <v>5</v>
      </c>
      <c r="K241" t="str">
        <f t="shared" si="7"/>
        <v>Home Win</v>
      </c>
    </row>
    <row r="242" spans="1:11" x14ac:dyDescent="0.35">
      <c r="A242">
        <v>241</v>
      </c>
      <c r="B242">
        <v>1974</v>
      </c>
      <c r="C242" s="1">
        <v>27198</v>
      </c>
      <c r="D242" t="s">
        <v>73</v>
      </c>
      <c r="E242" t="s">
        <v>13</v>
      </c>
      <c r="F242">
        <v>3</v>
      </c>
      <c r="G242">
        <v>0</v>
      </c>
      <c r="H242" t="s">
        <v>75</v>
      </c>
      <c r="I242" t="b">
        <v>1</v>
      </c>
      <c r="J242">
        <f t="shared" si="6"/>
        <v>3</v>
      </c>
      <c r="K242" t="str">
        <f t="shared" si="7"/>
        <v>Home Win</v>
      </c>
    </row>
    <row r="243" spans="1:11" x14ac:dyDescent="0.35">
      <c r="A243">
        <v>242</v>
      </c>
      <c r="B243">
        <v>1974</v>
      </c>
      <c r="C243" s="1">
        <v>27198</v>
      </c>
      <c r="D243" t="s">
        <v>73</v>
      </c>
      <c r="E243" t="s">
        <v>63</v>
      </c>
      <c r="F243">
        <v>0</v>
      </c>
      <c r="G243">
        <v>0</v>
      </c>
      <c r="H243" t="s">
        <v>16</v>
      </c>
      <c r="I243" t="b">
        <v>0</v>
      </c>
      <c r="J243">
        <f t="shared" si="6"/>
        <v>0</v>
      </c>
      <c r="K243" t="str">
        <f t="shared" si="7"/>
        <v>Draw</v>
      </c>
    </row>
    <row r="244" spans="1:11" x14ac:dyDescent="0.35">
      <c r="A244">
        <v>243</v>
      </c>
      <c r="B244">
        <v>1974</v>
      </c>
      <c r="C244" s="1">
        <v>27198</v>
      </c>
      <c r="D244" t="s">
        <v>73</v>
      </c>
      <c r="E244" t="s">
        <v>21</v>
      </c>
      <c r="F244">
        <v>1</v>
      </c>
      <c r="G244">
        <v>1</v>
      </c>
      <c r="H244" t="s">
        <v>74</v>
      </c>
      <c r="I244" t="b">
        <v>0</v>
      </c>
      <c r="J244">
        <f t="shared" si="6"/>
        <v>2</v>
      </c>
      <c r="K244" t="str">
        <f t="shared" si="7"/>
        <v>Draw</v>
      </c>
    </row>
    <row r="245" spans="1:11" x14ac:dyDescent="0.35">
      <c r="A245">
        <v>244</v>
      </c>
      <c r="B245">
        <v>1974</v>
      </c>
      <c r="C245" s="1">
        <v>27198</v>
      </c>
      <c r="D245" t="s">
        <v>73</v>
      </c>
      <c r="E245" t="s">
        <v>47</v>
      </c>
      <c r="F245">
        <v>9</v>
      </c>
      <c r="G245">
        <v>0</v>
      </c>
      <c r="H245" t="s">
        <v>76</v>
      </c>
      <c r="I245" t="b">
        <v>0</v>
      </c>
      <c r="J245">
        <f t="shared" si="6"/>
        <v>9</v>
      </c>
      <c r="K245" t="str">
        <f t="shared" si="7"/>
        <v>Home Win</v>
      </c>
    </row>
    <row r="246" spans="1:11" x14ac:dyDescent="0.35">
      <c r="A246">
        <v>245</v>
      </c>
      <c r="B246">
        <v>1974</v>
      </c>
      <c r="C246" s="1">
        <v>27199</v>
      </c>
      <c r="D246" t="s">
        <v>73</v>
      </c>
      <c r="E246" t="s">
        <v>25</v>
      </c>
      <c r="F246">
        <v>0</v>
      </c>
      <c r="G246">
        <v>0</v>
      </c>
      <c r="H246" t="s">
        <v>17</v>
      </c>
      <c r="I246" t="b">
        <v>0</v>
      </c>
      <c r="J246">
        <f t="shared" si="6"/>
        <v>0</v>
      </c>
      <c r="K246" t="str">
        <f t="shared" si="7"/>
        <v>Draw</v>
      </c>
    </row>
    <row r="247" spans="1:11" x14ac:dyDescent="0.35">
      <c r="A247">
        <v>246</v>
      </c>
      <c r="B247">
        <v>1974</v>
      </c>
      <c r="C247" s="1">
        <v>27199</v>
      </c>
      <c r="D247" t="s">
        <v>73</v>
      </c>
      <c r="E247" t="s">
        <v>68</v>
      </c>
      <c r="F247">
        <v>1</v>
      </c>
      <c r="G247">
        <v>1</v>
      </c>
      <c r="H247" t="s">
        <v>8</v>
      </c>
      <c r="I247" t="b">
        <v>0</v>
      </c>
      <c r="J247">
        <f t="shared" si="6"/>
        <v>2</v>
      </c>
      <c r="K247" t="str">
        <f t="shared" si="7"/>
        <v>Draw</v>
      </c>
    </row>
    <row r="248" spans="1:11" x14ac:dyDescent="0.35">
      <c r="A248">
        <v>247</v>
      </c>
      <c r="B248">
        <v>1974</v>
      </c>
      <c r="C248" s="1">
        <v>27199</v>
      </c>
      <c r="D248" t="s">
        <v>73</v>
      </c>
      <c r="E248" t="s">
        <v>77</v>
      </c>
      <c r="F248">
        <v>0</v>
      </c>
      <c r="G248">
        <v>7</v>
      </c>
      <c r="H248" t="s">
        <v>26</v>
      </c>
      <c r="I248" t="b">
        <v>0</v>
      </c>
      <c r="J248">
        <f t="shared" si="6"/>
        <v>7</v>
      </c>
      <c r="K248" t="str">
        <f t="shared" si="7"/>
        <v>Away Win</v>
      </c>
    </row>
    <row r="249" spans="1:11" x14ac:dyDescent="0.35">
      <c r="A249">
        <v>248</v>
      </c>
      <c r="B249">
        <v>1974</v>
      </c>
      <c r="C249" s="1">
        <v>27199</v>
      </c>
      <c r="D249" t="s">
        <v>73</v>
      </c>
      <c r="E249" t="s">
        <v>9</v>
      </c>
      <c r="F249">
        <v>1</v>
      </c>
      <c r="G249">
        <v>1</v>
      </c>
      <c r="H249" t="s">
        <v>11</v>
      </c>
      <c r="I249" t="b">
        <v>0</v>
      </c>
      <c r="J249">
        <f t="shared" si="6"/>
        <v>2</v>
      </c>
      <c r="K249" t="str">
        <f t="shared" si="7"/>
        <v>Draw</v>
      </c>
    </row>
    <row r="250" spans="1:11" x14ac:dyDescent="0.35">
      <c r="A250">
        <v>249</v>
      </c>
      <c r="B250">
        <v>1974</v>
      </c>
      <c r="C250" s="1">
        <v>27202</v>
      </c>
      <c r="D250" t="s">
        <v>73</v>
      </c>
      <c r="E250" t="s">
        <v>63</v>
      </c>
      <c r="F250">
        <v>1</v>
      </c>
      <c r="G250">
        <v>1</v>
      </c>
      <c r="H250" t="s">
        <v>47</v>
      </c>
      <c r="I250" t="b">
        <v>0</v>
      </c>
      <c r="J250">
        <f t="shared" si="6"/>
        <v>2</v>
      </c>
      <c r="K250" t="str">
        <f t="shared" si="7"/>
        <v>Draw</v>
      </c>
    </row>
    <row r="251" spans="1:11" x14ac:dyDescent="0.35">
      <c r="A251">
        <v>250</v>
      </c>
      <c r="B251">
        <v>1974</v>
      </c>
      <c r="C251" s="1">
        <v>27202</v>
      </c>
      <c r="D251" t="s">
        <v>73</v>
      </c>
      <c r="E251" t="s">
        <v>75</v>
      </c>
      <c r="F251">
        <v>0</v>
      </c>
      <c r="G251">
        <v>0</v>
      </c>
      <c r="H251" t="s">
        <v>21</v>
      </c>
      <c r="I251" t="b">
        <v>0</v>
      </c>
      <c r="J251">
        <f t="shared" si="6"/>
        <v>0</v>
      </c>
      <c r="K251" t="str">
        <f t="shared" si="7"/>
        <v>Draw</v>
      </c>
    </row>
    <row r="252" spans="1:11" x14ac:dyDescent="0.35">
      <c r="A252">
        <v>251</v>
      </c>
      <c r="B252">
        <v>1974</v>
      </c>
      <c r="C252" s="1">
        <v>27202</v>
      </c>
      <c r="D252" t="s">
        <v>73</v>
      </c>
      <c r="E252" t="s">
        <v>76</v>
      </c>
      <c r="F252">
        <v>0</v>
      </c>
      <c r="G252">
        <v>3</v>
      </c>
      <c r="H252" t="s">
        <v>16</v>
      </c>
      <c r="I252" t="b">
        <v>0</v>
      </c>
      <c r="J252">
        <f t="shared" si="6"/>
        <v>3</v>
      </c>
      <c r="K252" t="str">
        <f t="shared" si="7"/>
        <v>Away Win</v>
      </c>
    </row>
    <row r="253" spans="1:11" x14ac:dyDescent="0.35">
      <c r="A253">
        <v>252</v>
      </c>
      <c r="B253">
        <v>1974</v>
      </c>
      <c r="C253" s="1">
        <v>27202</v>
      </c>
      <c r="D253" t="s">
        <v>73</v>
      </c>
      <c r="E253" t="s">
        <v>13</v>
      </c>
      <c r="F253">
        <v>0</v>
      </c>
      <c r="G253">
        <v>1</v>
      </c>
      <c r="H253" t="s">
        <v>74</v>
      </c>
      <c r="I253" t="b">
        <v>1</v>
      </c>
      <c r="J253">
        <f t="shared" si="6"/>
        <v>1</v>
      </c>
      <c r="K253" t="str">
        <f t="shared" si="7"/>
        <v>Away Win</v>
      </c>
    </row>
    <row r="254" spans="1:11" x14ac:dyDescent="0.35">
      <c r="A254">
        <v>253</v>
      </c>
      <c r="B254">
        <v>1974</v>
      </c>
      <c r="C254" s="1">
        <v>27203</v>
      </c>
      <c r="D254" t="s">
        <v>73</v>
      </c>
      <c r="E254" t="s">
        <v>68</v>
      </c>
      <c r="F254">
        <v>1</v>
      </c>
      <c r="G254">
        <v>4</v>
      </c>
      <c r="H254" t="s">
        <v>25</v>
      </c>
      <c r="I254" t="b">
        <v>0</v>
      </c>
      <c r="J254">
        <f t="shared" si="6"/>
        <v>5</v>
      </c>
      <c r="K254" t="str">
        <f t="shared" si="7"/>
        <v>Away Win</v>
      </c>
    </row>
    <row r="255" spans="1:11" x14ac:dyDescent="0.35">
      <c r="A255">
        <v>254</v>
      </c>
      <c r="B255">
        <v>1974</v>
      </c>
      <c r="C255" s="1">
        <v>27203</v>
      </c>
      <c r="D255" t="s">
        <v>73</v>
      </c>
      <c r="E255" t="s">
        <v>9</v>
      </c>
      <c r="F255">
        <v>4</v>
      </c>
      <c r="G255">
        <v>1</v>
      </c>
      <c r="H255" t="s">
        <v>77</v>
      </c>
      <c r="I255" t="b">
        <v>0</v>
      </c>
      <c r="J255">
        <f t="shared" si="6"/>
        <v>5</v>
      </c>
      <c r="K255" t="str">
        <f t="shared" si="7"/>
        <v>Home Win</v>
      </c>
    </row>
    <row r="256" spans="1:11" x14ac:dyDescent="0.35">
      <c r="A256">
        <v>255</v>
      </c>
      <c r="B256">
        <v>1974</v>
      </c>
      <c r="C256" s="1">
        <v>27203</v>
      </c>
      <c r="D256" t="s">
        <v>73</v>
      </c>
      <c r="E256" t="s">
        <v>17</v>
      </c>
      <c r="F256">
        <v>3</v>
      </c>
      <c r="G256">
        <v>0</v>
      </c>
      <c r="H256" t="s">
        <v>8</v>
      </c>
      <c r="I256" t="b">
        <v>0</v>
      </c>
      <c r="J256">
        <f t="shared" si="6"/>
        <v>3</v>
      </c>
      <c r="K256" t="str">
        <f t="shared" si="7"/>
        <v>Home Win</v>
      </c>
    </row>
    <row r="257" spans="1:11" x14ac:dyDescent="0.35">
      <c r="A257">
        <v>256</v>
      </c>
      <c r="B257">
        <v>1974</v>
      </c>
      <c r="C257" s="1">
        <v>27203</v>
      </c>
      <c r="D257" t="s">
        <v>73</v>
      </c>
      <c r="E257" t="s">
        <v>26</v>
      </c>
      <c r="F257">
        <v>2</v>
      </c>
      <c r="G257">
        <v>1</v>
      </c>
      <c r="H257" t="s">
        <v>11</v>
      </c>
      <c r="I257" t="b">
        <v>0</v>
      </c>
      <c r="J257">
        <f t="shared" si="6"/>
        <v>3</v>
      </c>
      <c r="K257" t="str">
        <f t="shared" si="7"/>
        <v>Home Win</v>
      </c>
    </row>
    <row r="258" spans="1:11" x14ac:dyDescent="0.35">
      <c r="A258">
        <v>257</v>
      </c>
      <c r="B258">
        <v>1974</v>
      </c>
      <c r="C258" s="1">
        <v>27206</v>
      </c>
      <c r="D258" t="s">
        <v>78</v>
      </c>
      <c r="E258" t="s">
        <v>13</v>
      </c>
      <c r="F258">
        <v>2</v>
      </c>
      <c r="G258">
        <v>0</v>
      </c>
      <c r="H258" t="s">
        <v>47</v>
      </c>
      <c r="I258" t="b">
        <v>1</v>
      </c>
      <c r="J258">
        <f t="shared" si="6"/>
        <v>2</v>
      </c>
      <c r="K258" t="str">
        <f t="shared" si="7"/>
        <v>Home Win</v>
      </c>
    </row>
    <row r="259" spans="1:11" x14ac:dyDescent="0.35">
      <c r="A259">
        <v>258</v>
      </c>
      <c r="B259">
        <v>1974</v>
      </c>
      <c r="C259" s="1">
        <v>27206</v>
      </c>
      <c r="D259" t="s">
        <v>78</v>
      </c>
      <c r="E259" t="s">
        <v>16</v>
      </c>
      <c r="F259">
        <v>1</v>
      </c>
      <c r="G259">
        <v>0</v>
      </c>
      <c r="H259" t="s">
        <v>74</v>
      </c>
      <c r="I259" t="b">
        <v>0</v>
      </c>
      <c r="J259">
        <f t="shared" ref="J259:J322" si="8">F:F+G:G</f>
        <v>1</v>
      </c>
      <c r="K259" t="str">
        <f t="shared" ref="K259:K322" si="9">IF(F259&gt;G259,"Home Win",IF(F259&lt;G259,"Away Win","Draw"))</f>
        <v>Home Win</v>
      </c>
    </row>
    <row r="260" spans="1:11" x14ac:dyDescent="0.35">
      <c r="A260">
        <v>259</v>
      </c>
      <c r="B260">
        <v>1974</v>
      </c>
      <c r="C260" s="1">
        <v>27206</v>
      </c>
      <c r="D260" t="s">
        <v>78</v>
      </c>
      <c r="E260" t="s">
        <v>25</v>
      </c>
      <c r="F260">
        <v>4</v>
      </c>
      <c r="G260">
        <v>0</v>
      </c>
      <c r="H260" t="s">
        <v>9</v>
      </c>
      <c r="I260" t="b">
        <v>0</v>
      </c>
      <c r="J260">
        <f t="shared" si="8"/>
        <v>4</v>
      </c>
      <c r="K260" t="str">
        <f t="shared" si="9"/>
        <v>Home Win</v>
      </c>
    </row>
    <row r="261" spans="1:11" x14ac:dyDescent="0.35">
      <c r="A261">
        <v>260</v>
      </c>
      <c r="B261">
        <v>1974</v>
      </c>
      <c r="C261" s="1">
        <v>27206</v>
      </c>
      <c r="D261" t="s">
        <v>78</v>
      </c>
      <c r="E261" t="s">
        <v>17</v>
      </c>
      <c r="F261">
        <v>0</v>
      </c>
      <c r="G261">
        <v>1</v>
      </c>
      <c r="H261" t="s">
        <v>26</v>
      </c>
      <c r="I261" t="b">
        <v>0</v>
      </c>
      <c r="J261">
        <f t="shared" si="8"/>
        <v>1</v>
      </c>
      <c r="K261" t="str">
        <f t="shared" si="9"/>
        <v>Away Win</v>
      </c>
    </row>
    <row r="262" spans="1:11" x14ac:dyDescent="0.35">
      <c r="A262">
        <v>261</v>
      </c>
      <c r="B262">
        <v>1974</v>
      </c>
      <c r="C262" s="1">
        <v>27210</v>
      </c>
      <c r="D262" t="s">
        <v>78</v>
      </c>
      <c r="E262" t="s">
        <v>9</v>
      </c>
      <c r="F262">
        <v>1</v>
      </c>
      <c r="G262">
        <v>2</v>
      </c>
      <c r="H262" t="s">
        <v>16</v>
      </c>
      <c r="I262" t="b">
        <v>0</v>
      </c>
      <c r="J262">
        <f t="shared" si="8"/>
        <v>3</v>
      </c>
      <c r="K262" t="str">
        <f t="shared" si="9"/>
        <v>Away Win</v>
      </c>
    </row>
    <row r="263" spans="1:11" x14ac:dyDescent="0.35">
      <c r="A263">
        <v>262</v>
      </c>
      <c r="B263">
        <v>1974</v>
      </c>
      <c r="C263" s="1">
        <v>27210</v>
      </c>
      <c r="D263" t="s">
        <v>78</v>
      </c>
      <c r="E263" t="s">
        <v>26</v>
      </c>
      <c r="F263">
        <v>2</v>
      </c>
      <c r="G263">
        <v>1</v>
      </c>
      <c r="H263" t="s">
        <v>47</v>
      </c>
      <c r="I263" t="b">
        <v>0</v>
      </c>
      <c r="J263">
        <f t="shared" si="8"/>
        <v>3</v>
      </c>
      <c r="K263" t="str">
        <f t="shared" si="9"/>
        <v>Home Win</v>
      </c>
    </row>
    <row r="264" spans="1:11" x14ac:dyDescent="0.35">
      <c r="A264">
        <v>263</v>
      </c>
      <c r="B264">
        <v>1974</v>
      </c>
      <c r="C264" s="1">
        <v>27210</v>
      </c>
      <c r="D264" t="s">
        <v>78</v>
      </c>
      <c r="E264" t="s">
        <v>74</v>
      </c>
      <c r="F264">
        <v>0</v>
      </c>
      <c r="G264">
        <v>2</v>
      </c>
      <c r="H264" t="s">
        <v>25</v>
      </c>
      <c r="I264" t="b">
        <v>0</v>
      </c>
      <c r="J264">
        <f t="shared" si="8"/>
        <v>2</v>
      </c>
      <c r="K264" t="str">
        <f t="shared" si="9"/>
        <v>Away Win</v>
      </c>
    </row>
    <row r="265" spans="1:11" x14ac:dyDescent="0.35">
      <c r="A265">
        <v>264</v>
      </c>
      <c r="B265">
        <v>1974</v>
      </c>
      <c r="C265" s="1">
        <v>27210</v>
      </c>
      <c r="D265" t="s">
        <v>78</v>
      </c>
      <c r="E265" t="s">
        <v>13</v>
      </c>
      <c r="F265">
        <v>4</v>
      </c>
      <c r="G265">
        <v>2</v>
      </c>
      <c r="H265" t="s">
        <v>17</v>
      </c>
      <c r="I265" t="b">
        <v>1</v>
      </c>
      <c r="J265">
        <f t="shared" si="8"/>
        <v>6</v>
      </c>
      <c r="K265" t="str">
        <f t="shared" si="9"/>
        <v>Home Win</v>
      </c>
    </row>
    <row r="266" spans="1:11" x14ac:dyDescent="0.35">
      <c r="A266">
        <v>265</v>
      </c>
      <c r="B266">
        <v>1974</v>
      </c>
      <c r="C266" s="1">
        <v>27213</v>
      </c>
      <c r="D266" t="s">
        <v>78</v>
      </c>
      <c r="E266" t="s">
        <v>13</v>
      </c>
      <c r="F266">
        <v>1</v>
      </c>
      <c r="G266">
        <v>0</v>
      </c>
      <c r="H266" t="s">
        <v>26</v>
      </c>
      <c r="I266" t="b">
        <v>1</v>
      </c>
      <c r="J266">
        <f t="shared" si="8"/>
        <v>1</v>
      </c>
      <c r="K266" t="str">
        <f t="shared" si="9"/>
        <v>Home Win</v>
      </c>
    </row>
    <row r="267" spans="1:11" x14ac:dyDescent="0.35">
      <c r="A267">
        <v>266</v>
      </c>
      <c r="B267">
        <v>1974</v>
      </c>
      <c r="C267" s="1">
        <v>27213</v>
      </c>
      <c r="D267" t="s">
        <v>78</v>
      </c>
      <c r="E267" t="s">
        <v>25</v>
      </c>
      <c r="F267">
        <v>2</v>
      </c>
      <c r="G267">
        <v>0</v>
      </c>
      <c r="H267" t="s">
        <v>16</v>
      </c>
      <c r="I267" t="b">
        <v>0</v>
      </c>
      <c r="J267">
        <f t="shared" si="8"/>
        <v>2</v>
      </c>
      <c r="K267" t="str">
        <f t="shared" si="9"/>
        <v>Home Win</v>
      </c>
    </row>
    <row r="268" spans="1:11" x14ac:dyDescent="0.35">
      <c r="A268">
        <v>267</v>
      </c>
      <c r="B268">
        <v>1974</v>
      </c>
      <c r="C268" s="1">
        <v>27213</v>
      </c>
      <c r="D268" t="s">
        <v>78</v>
      </c>
      <c r="E268" t="s">
        <v>9</v>
      </c>
      <c r="F268">
        <v>1</v>
      </c>
      <c r="G268">
        <v>1</v>
      </c>
      <c r="H268" t="s">
        <v>74</v>
      </c>
      <c r="I268" t="b">
        <v>0</v>
      </c>
      <c r="J268">
        <f t="shared" si="8"/>
        <v>2</v>
      </c>
      <c r="K268" t="str">
        <f t="shared" si="9"/>
        <v>Draw</v>
      </c>
    </row>
    <row r="269" spans="1:11" x14ac:dyDescent="0.35">
      <c r="A269">
        <v>268</v>
      </c>
      <c r="B269">
        <v>1974</v>
      </c>
      <c r="C269" s="1">
        <v>27213</v>
      </c>
      <c r="D269" t="s">
        <v>78</v>
      </c>
      <c r="E269" t="s">
        <v>17</v>
      </c>
      <c r="F269">
        <v>2</v>
      </c>
      <c r="G269">
        <v>1</v>
      </c>
      <c r="H269" t="s">
        <v>47</v>
      </c>
      <c r="I269" t="b">
        <v>0</v>
      </c>
      <c r="J269">
        <f t="shared" si="8"/>
        <v>3</v>
      </c>
      <c r="K269" t="str">
        <f t="shared" si="9"/>
        <v>Home Win</v>
      </c>
    </row>
    <row r="270" spans="1:11" x14ac:dyDescent="0.35">
      <c r="A270">
        <v>269</v>
      </c>
      <c r="B270">
        <v>1974</v>
      </c>
      <c r="C270" s="1">
        <v>27216</v>
      </c>
      <c r="D270" t="s">
        <v>57</v>
      </c>
      <c r="E270" t="s">
        <v>16</v>
      </c>
      <c r="F270">
        <v>0</v>
      </c>
      <c r="G270">
        <v>1</v>
      </c>
      <c r="H270" t="s">
        <v>26</v>
      </c>
      <c r="I270" t="b">
        <v>0</v>
      </c>
      <c r="J270">
        <f t="shared" si="8"/>
        <v>1</v>
      </c>
      <c r="K270" t="str">
        <f t="shared" si="9"/>
        <v>Away Win</v>
      </c>
    </row>
    <row r="271" spans="1:11" x14ac:dyDescent="0.35">
      <c r="A271">
        <v>270</v>
      </c>
      <c r="B271">
        <v>1974</v>
      </c>
      <c r="C271" s="1">
        <v>27217</v>
      </c>
      <c r="D271" t="s">
        <v>53</v>
      </c>
      <c r="E271" t="s">
        <v>13</v>
      </c>
      <c r="F271">
        <v>2</v>
      </c>
      <c r="G271">
        <v>1</v>
      </c>
      <c r="H271" t="s">
        <v>25</v>
      </c>
      <c r="I271" t="b">
        <v>1</v>
      </c>
      <c r="J271">
        <f t="shared" si="8"/>
        <v>3</v>
      </c>
      <c r="K271" t="str">
        <f t="shared" si="9"/>
        <v>Home Win</v>
      </c>
    </row>
    <row r="272" spans="1:11" x14ac:dyDescent="0.35">
      <c r="A272">
        <v>271</v>
      </c>
      <c r="B272">
        <v>1978</v>
      </c>
      <c r="C272" s="1">
        <v>28642</v>
      </c>
      <c r="D272" t="s">
        <v>73</v>
      </c>
      <c r="E272" t="s">
        <v>13</v>
      </c>
      <c r="F272">
        <v>0</v>
      </c>
      <c r="G272">
        <v>0</v>
      </c>
      <c r="H272" t="s">
        <v>26</v>
      </c>
      <c r="I272" t="b">
        <v>0</v>
      </c>
      <c r="J272">
        <f t="shared" si="8"/>
        <v>0</v>
      </c>
      <c r="K272" t="str">
        <f t="shared" si="9"/>
        <v>Draw</v>
      </c>
    </row>
    <row r="273" spans="1:11" x14ac:dyDescent="0.35">
      <c r="A273">
        <v>272</v>
      </c>
      <c r="B273">
        <v>1978</v>
      </c>
      <c r="C273" s="1">
        <v>28643</v>
      </c>
      <c r="D273" t="s">
        <v>73</v>
      </c>
      <c r="E273" t="s">
        <v>11</v>
      </c>
      <c r="F273">
        <v>2</v>
      </c>
      <c r="G273">
        <v>1</v>
      </c>
      <c r="H273" t="s">
        <v>14</v>
      </c>
      <c r="I273" t="b">
        <v>0</v>
      </c>
      <c r="J273">
        <f t="shared" si="8"/>
        <v>3</v>
      </c>
      <c r="K273" t="str">
        <f t="shared" si="9"/>
        <v>Home Win</v>
      </c>
    </row>
    <row r="274" spans="1:11" x14ac:dyDescent="0.35">
      <c r="A274">
        <v>273</v>
      </c>
      <c r="B274">
        <v>1978</v>
      </c>
      <c r="C274" s="1">
        <v>28643</v>
      </c>
      <c r="D274" t="s">
        <v>73</v>
      </c>
      <c r="E274" t="s">
        <v>79</v>
      </c>
      <c r="F274">
        <v>3</v>
      </c>
      <c r="G274">
        <v>1</v>
      </c>
      <c r="H274" t="s">
        <v>24</v>
      </c>
      <c r="I274" t="b">
        <v>0</v>
      </c>
      <c r="J274">
        <f t="shared" si="8"/>
        <v>4</v>
      </c>
      <c r="K274" t="str">
        <f t="shared" si="9"/>
        <v>Home Win</v>
      </c>
    </row>
    <row r="275" spans="1:11" x14ac:dyDescent="0.35">
      <c r="A275">
        <v>274</v>
      </c>
      <c r="B275">
        <v>1978</v>
      </c>
      <c r="C275" s="1">
        <v>28643</v>
      </c>
      <c r="D275" t="s">
        <v>73</v>
      </c>
      <c r="E275" t="s">
        <v>9</v>
      </c>
      <c r="F275">
        <v>2</v>
      </c>
      <c r="G275">
        <v>1</v>
      </c>
      <c r="H275" t="s">
        <v>15</v>
      </c>
      <c r="I275" t="b">
        <v>1</v>
      </c>
      <c r="J275">
        <f t="shared" si="8"/>
        <v>3</v>
      </c>
      <c r="K275" t="str">
        <f t="shared" si="9"/>
        <v>Home Win</v>
      </c>
    </row>
    <row r="276" spans="1:11" x14ac:dyDescent="0.35">
      <c r="A276">
        <v>275</v>
      </c>
      <c r="B276">
        <v>1978</v>
      </c>
      <c r="C276" s="1">
        <v>28644</v>
      </c>
      <c r="D276" t="s">
        <v>73</v>
      </c>
      <c r="E276" t="s">
        <v>17</v>
      </c>
      <c r="F276">
        <v>1</v>
      </c>
      <c r="G276">
        <v>1</v>
      </c>
      <c r="H276" t="s">
        <v>16</v>
      </c>
      <c r="I276" t="b">
        <v>0</v>
      </c>
      <c r="J276">
        <f t="shared" si="8"/>
        <v>2</v>
      </c>
      <c r="K276" t="str">
        <f t="shared" si="9"/>
        <v>Draw</v>
      </c>
    </row>
    <row r="277" spans="1:11" x14ac:dyDescent="0.35">
      <c r="A277">
        <v>276</v>
      </c>
      <c r="B277">
        <v>1978</v>
      </c>
      <c r="C277" s="1">
        <v>28644</v>
      </c>
      <c r="D277" t="s">
        <v>73</v>
      </c>
      <c r="E277" t="s">
        <v>20</v>
      </c>
      <c r="F277">
        <v>2</v>
      </c>
      <c r="G277">
        <v>1</v>
      </c>
      <c r="H277" t="s">
        <v>27</v>
      </c>
      <c r="I277" t="b">
        <v>0</v>
      </c>
      <c r="J277">
        <f t="shared" si="8"/>
        <v>3</v>
      </c>
      <c r="K277" t="str">
        <f t="shared" si="9"/>
        <v>Home Win</v>
      </c>
    </row>
    <row r="278" spans="1:11" x14ac:dyDescent="0.35">
      <c r="A278">
        <v>277</v>
      </c>
      <c r="B278">
        <v>1978</v>
      </c>
      <c r="C278" s="1">
        <v>28644</v>
      </c>
      <c r="D278" t="s">
        <v>73</v>
      </c>
      <c r="E278" t="s">
        <v>49</v>
      </c>
      <c r="F278">
        <v>3</v>
      </c>
      <c r="G278">
        <v>1</v>
      </c>
      <c r="H278" t="s">
        <v>63</v>
      </c>
      <c r="I278" t="b">
        <v>0</v>
      </c>
      <c r="J278">
        <f t="shared" si="8"/>
        <v>4</v>
      </c>
      <c r="K278" t="str">
        <f t="shared" si="9"/>
        <v>Home Win</v>
      </c>
    </row>
    <row r="279" spans="1:11" x14ac:dyDescent="0.35">
      <c r="A279">
        <v>278</v>
      </c>
      <c r="B279">
        <v>1978</v>
      </c>
      <c r="C279" s="1">
        <v>28644</v>
      </c>
      <c r="D279" t="s">
        <v>73</v>
      </c>
      <c r="E279" t="s">
        <v>25</v>
      </c>
      <c r="F279">
        <v>3</v>
      </c>
      <c r="G279">
        <v>0</v>
      </c>
      <c r="H279" t="s">
        <v>80</v>
      </c>
      <c r="I279" t="b">
        <v>0</v>
      </c>
      <c r="J279">
        <f t="shared" si="8"/>
        <v>3</v>
      </c>
      <c r="K279" t="str">
        <f t="shared" si="9"/>
        <v>Home Win</v>
      </c>
    </row>
    <row r="280" spans="1:11" x14ac:dyDescent="0.35">
      <c r="A280">
        <v>279</v>
      </c>
      <c r="B280">
        <v>1978</v>
      </c>
      <c r="C280" s="1">
        <v>28647</v>
      </c>
      <c r="D280" t="s">
        <v>73</v>
      </c>
      <c r="E280" t="s">
        <v>11</v>
      </c>
      <c r="F280">
        <v>3</v>
      </c>
      <c r="G280">
        <v>1</v>
      </c>
      <c r="H280" t="s">
        <v>15</v>
      </c>
      <c r="I280" t="b">
        <v>0</v>
      </c>
      <c r="J280">
        <f t="shared" si="8"/>
        <v>4</v>
      </c>
      <c r="K280" t="str">
        <f t="shared" si="9"/>
        <v>Home Win</v>
      </c>
    </row>
    <row r="281" spans="1:11" x14ac:dyDescent="0.35">
      <c r="A281">
        <v>280</v>
      </c>
      <c r="B281">
        <v>1978</v>
      </c>
      <c r="C281" s="1">
        <v>28647</v>
      </c>
      <c r="D281" t="s">
        <v>73</v>
      </c>
      <c r="E281" t="s">
        <v>26</v>
      </c>
      <c r="F281">
        <v>1</v>
      </c>
      <c r="G281">
        <v>0</v>
      </c>
      <c r="H281" t="s">
        <v>79</v>
      </c>
      <c r="I281" t="b">
        <v>0</v>
      </c>
      <c r="J281">
        <f t="shared" si="8"/>
        <v>1</v>
      </c>
      <c r="K281" t="str">
        <f t="shared" si="9"/>
        <v>Home Win</v>
      </c>
    </row>
    <row r="282" spans="1:11" x14ac:dyDescent="0.35">
      <c r="A282">
        <v>281</v>
      </c>
      <c r="B282">
        <v>1978</v>
      </c>
      <c r="C282" s="1">
        <v>28647</v>
      </c>
      <c r="D282" t="s">
        <v>73</v>
      </c>
      <c r="E282" t="s">
        <v>13</v>
      </c>
      <c r="F282">
        <v>6</v>
      </c>
      <c r="G282">
        <v>0</v>
      </c>
      <c r="H282" t="s">
        <v>24</v>
      </c>
      <c r="I282" t="b">
        <v>0</v>
      </c>
      <c r="J282">
        <f t="shared" si="8"/>
        <v>6</v>
      </c>
      <c r="K282" t="str">
        <f t="shared" si="9"/>
        <v>Home Win</v>
      </c>
    </row>
    <row r="283" spans="1:11" x14ac:dyDescent="0.35">
      <c r="A283">
        <v>282</v>
      </c>
      <c r="B283">
        <v>1978</v>
      </c>
      <c r="C283" s="1">
        <v>28647</v>
      </c>
      <c r="D283" t="s">
        <v>73</v>
      </c>
      <c r="E283" t="s">
        <v>9</v>
      </c>
      <c r="F283">
        <v>2</v>
      </c>
      <c r="G283">
        <v>1</v>
      </c>
      <c r="H283" t="s">
        <v>14</v>
      </c>
      <c r="I283" t="b">
        <v>1</v>
      </c>
      <c r="J283">
        <f t="shared" si="8"/>
        <v>3</v>
      </c>
      <c r="K283" t="str">
        <f t="shared" si="9"/>
        <v>Home Win</v>
      </c>
    </row>
    <row r="284" spans="1:11" x14ac:dyDescent="0.35">
      <c r="A284">
        <v>283</v>
      </c>
      <c r="B284">
        <v>1978</v>
      </c>
      <c r="C284" s="1">
        <v>28648</v>
      </c>
      <c r="D284" t="s">
        <v>73</v>
      </c>
      <c r="E284" t="s">
        <v>16</v>
      </c>
      <c r="F284">
        <v>0</v>
      </c>
      <c r="G284">
        <v>0</v>
      </c>
      <c r="H284" t="s">
        <v>27</v>
      </c>
      <c r="I284" t="b">
        <v>0</v>
      </c>
      <c r="J284">
        <f t="shared" si="8"/>
        <v>0</v>
      </c>
      <c r="K284" t="str">
        <f t="shared" si="9"/>
        <v>Draw</v>
      </c>
    </row>
    <row r="285" spans="1:11" x14ac:dyDescent="0.35">
      <c r="A285">
        <v>284</v>
      </c>
      <c r="B285">
        <v>1978</v>
      </c>
      <c r="C285" s="1">
        <v>28648</v>
      </c>
      <c r="D285" t="s">
        <v>73</v>
      </c>
      <c r="E285" t="s">
        <v>20</v>
      </c>
      <c r="F285">
        <v>1</v>
      </c>
      <c r="G285">
        <v>0</v>
      </c>
      <c r="H285" t="s">
        <v>17</v>
      </c>
      <c r="I285" t="b">
        <v>0</v>
      </c>
      <c r="J285">
        <f t="shared" si="8"/>
        <v>1</v>
      </c>
      <c r="K285" t="str">
        <f t="shared" si="9"/>
        <v>Home Win</v>
      </c>
    </row>
    <row r="286" spans="1:11" x14ac:dyDescent="0.35">
      <c r="A286">
        <v>285</v>
      </c>
      <c r="B286">
        <v>1978</v>
      </c>
      <c r="C286" s="1">
        <v>28648</v>
      </c>
      <c r="D286" t="s">
        <v>73</v>
      </c>
      <c r="E286" t="s">
        <v>63</v>
      </c>
      <c r="F286">
        <v>1</v>
      </c>
      <c r="G286">
        <v>1</v>
      </c>
      <c r="H286" t="s">
        <v>80</v>
      </c>
      <c r="I286" t="b">
        <v>0</v>
      </c>
      <c r="J286">
        <f t="shared" si="8"/>
        <v>2</v>
      </c>
      <c r="K286" t="str">
        <f t="shared" si="9"/>
        <v>Draw</v>
      </c>
    </row>
    <row r="287" spans="1:11" x14ac:dyDescent="0.35">
      <c r="A287">
        <v>286</v>
      </c>
      <c r="B287">
        <v>1978</v>
      </c>
      <c r="C287" s="1">
        <v>28648</v>
      </c>
      <c r="D287" t="s">
        <v>73</v>
      </c>
      <c r="E287" t="s">
        <v>25</v>
      </c>
      <c r="F287">
        <v>0</v>
      </c>
      <c r="G287">
        <v>0</v>
      </c>
      <c r="H287" t="s">
        <v>49</v>
      </c>
      <c r="I287" t="b">
        <v>0</v>
      </c>
      <c r="J287">
        <f t="shared" si="8"/>
        <v>0</v>
      </c>
      <c r="K287" t="str">
        <f t="shared" si="9"/>
        <v>Draw</v>
      </c>
    </row>
    <row r="288" spans="1:11" x14ac:dyDescent="0.35">
      <c r="A288">
        <v>287</v>
      </c>
      <c r="B288">
        <v>1978</v>
      </c>
      <c r="C288" s="1">
        <v>28651</v>
      </c>
      <c r="D288" t="s">
        <v>73</v>
      </c>
      <c r="E288" t="s">
        <v>14</v>
      </c>
      <c r="F288">
        <v>3</v>
      </c>
      <c r="G288">
        <v>1</v>
      </c>
      <c r="H288" t="s">
        <v>15</v>
      </c>
      <c r="I288" t="b">
        <v>0</v>
      </c>
      <c r="J288">
        <f t="shared" si="8"/>
        <v>4</v>
      </c>
      <c r="K288" t="str">
        <f t="shared" si="9"/>
        <v>Home Win</v>
      </c>
    </row>
    <row r="289" spans="1:11" x14ac:dyDescent="0.35">
      <c r="A289">
        <v>288</v>
      </c>
      <c r="B289">
        <v>1978</v>
      </c>
      <c r="C289" s="1">
        <v>28651</v>
      </c>
      <c r="D289" t="s">
        <v>73</v>
      </c>
      <c r="E289" t="s">
        <v>26</v>
      </c>
      <c r="F289">
        <v>3</v>
      </c>
      <c r="G289">
        <v>1</v>
      </c>
      <c r="H289" t="s">
        <v>24</v>
      </c>
      <c r="I289" t="b">
        <v>0</v>
      </c>
      <c r="J289">
        <f t="shared" si="8"/>
        <v>4</v>
      </c>
      <c r="K289" t="str">
        <f t="shared" si="9"/>
        <v>Home Win</v>
      </c>
    </row>
    <row r="290" spans="1:11" x14ac:dyDescent="0.35">
      <c r="A290">
        <v>289</v>
      </c>
      <c r="B290">
        <v>1978</v>
      </c>
      <c r="C290" s="1">
        <v>28651</v>
      </c>
      <c r="D290" t="s">
        <v>73</v>
      </c>
      <c r="E290" t="s">
        <v>13</v>
      </c>
      <c r="F290">
        <v>0</v>
      </c>
      <c r="G290">
        <v>0</v>
      </c>
      <c r="H290" t="s">
        <v>79</v>
      </c>
      <c r="I290" t="b">
        <v>0</v>
      </c>
      <c r="J290">
        <f t="shared" si="8"/>
        <v>0</v>
      </c>
      <c r="K290" t="str">
        <f t="shared" si="9"/>
        <v>Draw</v>
      </c>
    </row>
    <row r="291" spans="1:11" x14ac:dyDescent="0.35">
      <c r="A291">
        <v>290</v>
      </c>
      <c r="B291">
        <v>1978</v>
      </c>
      <c r="C291" s="1">
        <v>28651</v>
      </c>
      <c r="D291" t="s">
        <v>73</v>
      </c>
      <c r="E291" t="s">
        <v>9</v>
      </c>
      <c r="F291">
        <v>0</v>
      </c>
      <c r="G291">
        <v>1</v>
      </c>
      <c r="H291" t="s">
        <v>11</v>
      </c>
      <c r="I291" t="b">
        <v>1</v>
      </c>
      <c r="J291">
        <f t="shared" si="8"/>
        <v>1</v>
      </c>
      <c r="K291" t="str">
        <f t="shared" si="9"/>
        <v>Away Win</v>
      </c>
    </row>
    <row r="292" spans="1:11" x14ac:dyDescent="0.35">
      <c r="A292">
        <v>291</v>
      </c>
      <c r="B292">
        <v>1978</v>
      </c>
      <c r="C292" s="1">
        <v>28652</v>
      </c>
      <c r="D292" t="s">
        <v>73</v>
      </c>
      <c r="E292" t="s">
        <v>16</v>
      </c>
      <c r="F292">
        <v>1</v>
      </c>
      <c r="G292">
        <v>0</v>
      </c>
      <c r="H292" t="s">
        <v>20</v>
      </c>
      <c r="I292" t="b">
        <v>0</v>
      </c>
      <c r="J292">
        <f t="shared" si="8"/>
        <v>1</v>
      </c>
      <c r="K292" t="str">
        <f t="shared" si="9"/>
        <v>Home Win</v>
      </c>
    </row>
    <row r="293" spans="1:11" x14ac:dyDescent="0.35">
      <c r="A293">
        <v>292</v>
      </c>
      <c r="B293">
        <v>1978</v>
      </c>
      <c r="C293" s="1">
        <v>28652</v>
      </c>
      <c r="D293" t="s">
        <v>73</v>
      </c>
      <c r="E293" t="s">
        <v>27</v>
      </c>
      <c r="F293">
        <v>1</v>
      </c>
      <c r="G293">
        <v>0</v>
      </c>
      <c r="H293" t="s">
        <v>17</v>
      </c>
      <c r="I293" t="b">
        <v>0</v>
      </c>
      <c r="J293">
        <f t="shared" si="8"/>
        <v>1</v>
      </c>
      <c r="K293" t="str">
        <f t="shared" si="9"/>
        <v>Home Win</v>
      </c>
    </row>
    <row r="294" spans="1:11" x14ac:dyDescent="0.35">
      <c r="A294">
        <v>293</v>
      </c>
      <c r="B294">
        <v>1978</v>
      </c>
      <c r="C294" s="1">
        <v>28652</v>
      </c>
      <c r="D294" t="s">
        <v>73</v>
      </c>
      <c r="E294" t="s">
        <v>49</v>
      </c>
      <c r="F294">
        <v>4</v>
      </c>
      <c r="G294">
        <v>1</v>
      </c>
      <c r="H294" t="s">
        <v>80</v>
      </c>
      <c r="I294" t="b">
        <v>0</v>
      </c>
      <c r="J294">
        <f t="shared" si="8"/>
        <v>5</v>
      </c>
      <c r="K294" t="str">
        <f t="shared" si="9"/>
        <v>Home Win</v>
      </c>
    </row>
    <row r="295" spans="1:11" x14ac:dyDescent="0.35">
      <c r="A295">
        <v>294</v>
      </c>
      <c r="B295">
        <v>1978</v>
      </c>
      <c r="C295" s="1">
        <v>28652</v>
      </c>
      <c r="D295" t="s">
        <v>73</v>
      </c>
      <c r="E295" t="s">
        <v>63</v>
      </c>
      <c r="F295">
        <v>3</v>
      </c>
      <c r="G295">
        <v>2</v>
      </c>
      <c r="H295" t="s">
        <v>25</v>
      </c>
      <c r="I295" t="b">
        <v>0</v>
      </c>
      <c r="J295">
        <f t="shared" si="8"/>
        <v>5</v>
      </c>
      <c r="K295" t="str">
        <f t="shared" si="9"/>
        <v>Home Win</v>
      </c>
    </row>
    <row r="296" spans="1:11" x14ac:dyDescent="0.35">
      <c r="A296">
        <v>295</v>
      </c>
      <c r="B296">
        <v>1978</v>
      </c>
      <c r="C296" s="1">
        <v>28655</v>
      </c>
      <c r="D296" t="s">
        <v>78</v>
      </c>
      <c r="E296" t="s">
        <v>13</v>
      </c>
      <c r="F296">
        <v>0</v>
      </c>
      <c r="G296">
        <v>0</v>
      </c>
      <c r="H296" t="s">
        <v>11</v>
      </c>
      <c r="I296" t="b">
        <v>0</v>
      </c>
      <c r="J296">
        <f t="shared" si="8"/>
        <v>0</v>
      </c>
      <c r="K296" t="str">
        <f t="shared" si="9"/>
        <v>Draw</v>
      </c>
    </row>
    <row r="297" spans="1:11" x14ac:dyDescent="0.35">
      <c r="A297">
        <v>296</v>
      </c>
      <c r="B297">
        <v>1978</v>
      </c>
      <c r="C297" s="1">
        <v>28655</v>
      </c>
      <c r="D297" t="s">
        <v>78</v>
      </c>
      <c r="E297" t="s">
        <v>25</v>
      </c>
      <c r="F297">
        <v>5</v>
      </c>
      <c r="G297">
        <v>1</v>
      </c>
      <c r="H297" t="s">
        <v>20</v>
      </c>
      <c r="I297" t="b">
        <v>0</v>
      </c>
      <c r="J297">
        <f t="shared" si="8"/>
        <v>6</v>
      </c>
      <c r="K297" t="str">
        <f t="shared" si="9"/>
        <v>Home Win</v>
      </c>
    </row>
    <row r="298" spans="1:11" x14ac:dyDescent="0.35">
      <c r="A298">
        <v>297</v>
      </c>
      <c r="B298">
        <v>1978</v>
      </c>
      <c r="C298" s="1">
        <v>28655</v>
      </c>
      <c r="D298" t="s">
        <v>78</v>
      </c>
      <c r="E298" t="s">
        <v>16</v>
      </c>
      <c r="F298">
        <v>3</v>
      </c>
      <c r="G298">
        <v>0</v>
      </c>
      <c r="H298" t="s">
        <v>49</v>
      </c>
      <c r="I298" t="b">
        <v>0</v>
      </c>
      <c r="J298">
        <f t="shared" si="8"/>
        <v>3</v>
      </c>
      <c r="K298" t="str">
        <f t="shared" si="9"/>
        <v>Home Win</v>
      </c>
    </row>
    <row r="299" spans="1:11" x14ac:dyDescent="0.35">
      <c r="A299">
        <v>298</v>
      </c>
      <c r="B299">
        <v>1978</v>
      </c>
      <c r="C299" s="1">
        <v>28655</v>
      </c>
      <c r="D299" t="s">
        <v>78</v>
      </c>
      <c r="E299" t="s">
        <v>9</v>
      </c>
      <c r="F299">
        <v>2</v>
      </c>
      <c r="G299">
        <v>0</v>
      </c>
      <c r="H299" t="s">
        <v>26</v>
      </c>
      <c r="I299" t="b">
        <v>1</v>
      </c>
      <c r="J299">
        <f t="shared" si="8"/>
        <v>2</v>
      </c>
      <c r="K299" t="str">
        <f t="shared" si="9"/>
        <v>Home Win</v>
      </c>
    </row>
    <row r="300" spans="1:11" x14ac:dyDescent="0.35">
      <c r="A300">
        <v>299</v>
      </c>
      <c r="B300">
        <v>1978</v>
      </c>
      <c r="C300" s="1">
        <v>28659</v>
      </c>
      <c r="D300" t="s">
        <v>78</v>
      </c>
      <c r="E300" t="s">
        <v>26</v>
      </c>
      <c r="F300">
        <v>1</v>
      </c>
      <c r="G300">
        <v>0</v>
      </c>
      <c r="H300" t="s">
        <v>49</v>
      </c>
      <c r="I300" t="b">
        <v>0</v>
      </c>
      <c r="J300">
        <f t="shared" si="8"/>
        <v>1</v>
      </c>
      <c r="K300" t="str">
        <f t="shared" si="9"/>
        <v>Home Win</v>
      </c>
    </row>
    <row r="301" spans="1:11" x14ac:dyDescent="0.35">
      <c r="A301">
        <v>300</v>
      </c>
      <c r="B301">
        <v>1978</v>
      </c>
      <c r="C301" s="1">
        <v>28659</v>
      </c>
      <c r="D301" t="s">
        <v>78</v>
      </c>
      <c r="E301" t="s">
        <v>11</v>
      </c>
      <c r="F301">
        <v>1</v>
      </c>
      <c r="G301">
        <v>0</v>
      </c>
      <c r="H301" t="s">
        <v>20</v>
      </c>
      <c r="I301" t="b">
        <v>0</v>
      </c>
      <c r="J301">
        <f t="shared" si="8"/>
        <v>1</v>
      </c>
      <c r="K301" t="str">
        <f t="shared" si="9"/>
        <v>Home Win</v>
      </c>
    </row>
    <row r="302" spans="1:11" x14ac:dyDescent="0.35">
      <c r="A302">
        <v>301</v>
      </c>
      <c r="B302">
        <v>1978</v>
      </c>
      <c r="C302" s="1">
        <v>28659</v>
      </c>
      <c r="D302" t="s">
        <v>78</v>
      </c>
      <c r="E302" t="s">
        <v>13</v>
      </c>
      <c r="F302">
        <v>2</v>
      </c>
      <c r="G302">
        <v>2</v>
      </c>
      <c r="H302" t="s">
        <v>25</v>
      </c>
      <c r="I302" t="b">
        <v>0</v>
      </c>
      <c r="J302">
        <f t="shared" si="8"/>
        <v>4</v>
      </c>
      <c r="K302" t="str">
        <f t="shared" si="9"/>
        <v>Draw</v>
      </c>
    </row>
    <row r="303" spans="1:11" x14ac:dyDescent="0.35">
      <c r="A303">
        <v>302</v>
      </c>
      <c r="B303">
        <v>1978</v>
      </c>
      <c r="C303" s="1">
        <v>28659</v>
      </c>
      <c r="D303" t="s">
        <v>78</v>
      </c>
      <c r="E303" t="s">
        <v>9</v>
      </c>
      <c r="F303">
        <v>0</v>
      </c>
      <c r="G303">
        <v>0</v>
      </c>
      <c r="H303" t="s">
        <v>16</v>
      </c>
      <c r="I303" t="b">
        <v>1</v>
      </c>
      <c r="J303">
        <f t="shared" si="8"/>
        <v>0</v>
      </c>
      <c r="K303" t="str">
        <f t="shared" si="9"/>
        <v>Draw</v>
      </c>
    </row>
    <row r="304" spans="1:11" x14ac:dyDescent="0.35">
      <c r="A304">
        <v>303</v>
      </c>
      <c r="B304">
        <v>1978</v>
      </c>
      <c r="C304" s="1">
        <v>28662</v>
      </c>
      <c r="D304" t="s">
        <v>78</v>
      </c>
      <c r="E304" t="s">
        <v>25</v>
      </c>
      <c r="F304">
        <v>2</v>
      </c>
      <c r="G304">
        <v>1</v>
      </c>
      <c r="H304" t="s">
        <v>11</v>
      </c>
      <c r="I304" t="b">
        <v>0</v>
      </c>
      <c r="J304">
        <f t="shared" si="8"/>
        <v>3</v>
      </c>
      <c r="K304" t="str">
        <f t="shared" si="9"/>
        <v>Home Win</v>
      </c>
    </row>
    <row r="305" spans="1:11" x14ac:dyDescent="0.35">
      <c r="A305">
        <v>304</v>
      </c>
      <c r="B305">
        <v>1978</v>
      </c>
      <c r="C305" s="1">
        <v>28662</v>
      </c>
      <c r="D305" t="s">
        <v>78</v>
      </c>
      <c r="E305" t="s">
        <v>20</v>
      </c>
      <c r="F305">
        <v>3</v>
      </c>
      <c r="G305">
        <v>2</v>
      </c>
      <c r="H305" t="s">
        <v>13</v>
      </c>
      <c r="I305" t="b">
        <v>0</v>
      </c>
      <c r="J305">
        <f t="shared" si="8"/>
        <v>5</v>
      </c>
      <c r="K305" t="str">
        <f t="shared" si="9"/>
        <v>Home Win</v>
      </c>
    </row>
    <row r="306" spans="1:11" x14ac:dyDescent="0.35">
      <c r="A306">
        <v>305</v>
      </c>
      <c r="B306">
        <v>1978</v>
      </c>
      <c r="C306" s="1">
        <v>28662</v>
      </c>
      <c r="D306" t="s">
        <v>78</v>
      </c>
      <c r="E306" t="s">
        <v>16</v>
      </c>
      <c r="F306">
        <v>3</v>
      </c>
      <c r="G306">
        <v>1</v>
      </c>
      <c r="H306" t="s">
        <v>26</v>
      </c>
      <c r="I306" t="b">
        <v>0</v>
      </c>
      <c r="J306">
        <f t="shared" si="8"/>
        <v>4</v>
      </c>
      <c r="K306" t="str">
        <f t="shared" si="9"/>
        <v>Home Win</v>
      </c>
    </row>
    <row r="307" spans="1:11" x14ac:dyDescent="0.35">
      <c r="A307">
        <v>306</v>
      </c>
      <c r="B307">
        <v>1978</v>
      </c>
      <c r="C307" s="1">
        <v>28662</v>
      </c>
      <c r="D307" t="s">
        <v>78</v>
      </c>
      <c r="E307" t="s">
        <v>9</v>
      </c>
      <c r="F307">
        <v>6</v>
      </c>
      <c r="G307">
        <v>0</v>
      </c>
      <c r="H307" t="s">
        <v>49</v>
      </c>
      <c r="I307" t="b">
        <v>1</v>
      </c>
      <c r="J307">
        <f t="shared" si="8"/>
        <v>6</v>
      </c>
      <c r="K307" t="str">
        <f t="shared" si="9"/>
        <v>Home Win</v>
      </c>
    </row>
    <row r="308" spans="1:11" x14ac:dyDescent="0.35">
      <c r="A308">
        <v>307</v>
      </c>
      <c r="B308">
        <v>1978</v>
      </c>
      <c r="C308" s="1">
        <v>28665</v>
      </c>
      <c r="D308" t="s">
        <v>57</v>
      </c>
      <c r="E308" t="s">
        <v>16</v>
      </c>
      <c r="F308">
        <v>2</v>
      </c>
      <c r="G308">
        <v>1</v>
      </c>
      <c r="H308" t="s">
        <v>11</v>
      </c>
      <c r="I308" t="b">
        <v>0</v>
      </c>
      <c r="J308">
        <f t="shared" si="8"/>
        <v>3</v>
      </c>
      <c r="K308" t="str">
        <f t="shared" si="9"/>
        <v>Home Win</v>
      </c>
    </row>
    <row r="309" spans="1:11" x14ac:dyDescent="0.35">
      <c r="A309">
        <v>308</v>
      </c>
      <c r="B309">
        <v>1978</v>
      </c>
      <c r="C309" s="1">
        <v>28666</v>
      </c>
      <c r="D309" t="s">
        <v>53</v>
      </c>
      <c r="E309" t="s">
        <v>9</v>
      </c>
      <c r="F309">
        <v>3</v>
      </c>
      <c r="G309">
        <v>1</v>
      </c>
      <c r="H309" t="s">
        <v>25</v>
      </c>
      <c r="I309" t="b">
        <v>1</v>
      </c>
      <c r="J309">
        <f t="shared" si="8"/>
        <v>4</v>
      </c>
      <c r="K309" t="str">
        <f t="shared" si="9"/>
        <v>Home Win</v>
      </c>
    </row>
    <row r="310" spans="1:11" x14ac:dyDescent="0.35">
      <c r="A310">
        <v>309</v>
      </c>
      <c r="B310">
        <v>1982</v>
      </c>
      <c r="C310" s="1">
        <v>30115</v>
      </c>
      <c r="D310" t="s">
        <v>73</v>
      </c>
      <c r="E310" t="s">
        <v>9</v>
      </c>
      <c r="F310">
        <v>0</v>
      </c>
      <c r="G310">
        <v>1</v>
      </c>
      <c r="H310" t="s">
        <v>33</v>
      </c>
      <c r="I310" t="b">
        <v>0</v>
      </c>
      <c r="J310">
        <f t="shared" si="8"/>
        <v>1</v>
      </c>
      <c r="K310" t="str">
        <f t="shared" si="9"/>
        <v>Away Win</v>
      </c>
    </row>
    <row r="311" spans="1:11" x14ac:dyDescent="0.35">
      <c r="A311">
        <v>310</v>
      </c>
      <c r="B311">
        <v>1982</v>
      </c>
      <c r="C311" s="1">
        <v>30116</v>
      </c>
      <c r="D311" t="s">
        <v>73</v>
      </c>
      <c r="E311" t="s">
        <v>11</v>
      </c>
      <c r="F311">
        <v>0</v>
      </c>
      <c r="G311">
        <v>0</v>
      </c>
      <c r="H311" t="s">
        <v>26</v>
      </c>
      <c r="I311" t="b">
        <v>0</v>
      </c>
      <c r="J311">
        <f t="shared" si="8"/>
        <v>0</v>
      </c>
      <c r="K311" t="str">
        <f t="shared" si="9"/>
        <v>Draw</v>
      </c>
    </row>
    <row r="312" spans="1:11" x14ac:dyDescent="0.35">
      <c r="A312">
        <v>311</v>
      </c>
      <c r="B312">
        <v>1982</v>
      </c>
      <c r="C312" s="1">
        <v>30116</v>
      </c>
      <c r="D312" t="s">
        <v>73</v>
      </c>
      <c r="E312" t="s">
        <v>16</v>
      </c>
      <c r="F312">
        <v>2</v>
      </c>
      <c r="G312">
        <v>1</v>
      </c>
      <c r="H312" t="s">
        <v>32</v>
      </c>
      <c r="I312" t="b">
        <v>0</v>
      </c>
      <c r="J312">
        <f t="shared" si="8"/>
        <v>3</v>
      </c>
      <c r="K312" t="str">
        <f t="shared" si="9"/>
        <v>Home Win</v>
      </c>
    </row>
    <row r="313" spans="1:11" x14ac:dyDescent="0.35">
      <c r="A313">
        <v>312</v>
      </c>
      <c r="B313">
        <v>1982</v>
      </c>
      <c r="C313" s="1">
        <v>30117</v>
      </c>
      <c r="D313" t="s">
        <v>73</v>
      </c>
      <c r="E313" t="s">
        <v>49</v>
      </c>
      <c r="F313">
        <v>0</v>
      </c>
      <c r="G313">
        <v>0</v>
      </c>
      <c r="H313" t="s">
        <v>81</v>
      </c>
      <c r="I313" t="b">
        <v>0</v>
      </c>
      <c r="J313">
        <f t="shared" si="8"/>
        <v>0</v>
      </c>
      <c r="K313" t="str">
        <f t="shared" si="9"/>
        <v>Draw</v>
      </c>
    </row>
    <row r="314" spans="1:11" x14ac:dyDescent="0.35">
      <c r="A314">
        <v>313</v>
      </c>
      <c r="B314">
        <v>1982</v>
      </c>
      <c r="C314" s="1">
        <v>30117</v>
      </c>
      <c r="D314" t="s">
        <v>73</v>
      </c>
      <c r="E314" t="s">
        <v>15</v>
      </c>
      <c r="F314">
        <v>10</v>
      </c>
      <c r="G314">
        <v>1</v>
      </c>
      <c r="H314" t="s">
        <v>72</v>
      </c>
      <c r="I314" t="b">
        <v>0</v>
      </c>
      <c r="J314">
        <f t="shared" si="8"/>
        <v>11</v>
      </c>
      <c r="K314" t="str">
        <f t="shared" si="9"/>
        <v>Home Win</v>
      </c>
    </row>
    <row r="315" spans="1:11" x14ac:dyDescent="0.35">
      <c r="A315">
        <v>314</v>
      </c>
      <c r="B315">
        <v>1982</v>
      </c>
      <c r="C315" s="1">
        <v>30117</v>
      </c>
      <c r="D315" t="s">
        <v>73</v>
      </c>
      <c r="E315" t="s">
        <v>63</v>
      </c>
      <c r="F315">
        <v>5</v>
      </c>
      <c r="G315">
        <v>2</v>
      </c>
      <c r="H315" t="s">
        <v>82</v>
      </c>
      <c r="I315" t="b">
        <v>0</v>
      </c>
      <c r="J315">
        <f t="shared" si="8"/>
        <v>7</v>
      </c>
      <c r="K315" t="str">
        <f t="shared" si="9"/>
        <v>Home Win</v>
      </c>
    </row>
    <row r="316" spans="1:11" x14ac:dyDescent="0.35">
      <c r="A316">
        <v>315</v>
      </c>
      <c r="B316">
        <v>1982</v>
      </c>
      <c r="C316" s="1">
        <v>30118</v>
      </c>
      <c r="D316" t="s">
        <v>73</v>
      </c>
      <c r="E316" t="s">
        <v>13</v>
      </c>
      <c r="F316">
        <v>1</v>
      </c>
      <c r="G316">
        <v>2</v>
      </c>
      <c r="H316" t="s">
        <v>83</v>
      </c>
      <c r="I316" t="b">
        <v>0</v>
      </c>
      <c r="J316">
        <f t="shared" si="8"/>
        <v>3</v>
      </c>
      <c r="K316" t="str">
        <f t="shared" si="9"/>
        <v>Away Win</v>
      </c>
    </row>
    <row r="317" spans="1:11" x14ac:dyDescent="0.35">
      <c r="A317">
        <v>316</v>
      </c>
      <c r="B317">
        <v>1982</v>
      </c>
      <c r="C317" s="1">
        <v>30118</v>
      </c>
      <c r="D317" t="s">
        <v>73</v>
      </c>
      <c r="E317" t="s">
        <v>22</v>
      </c>
      <c r="F317">
        <v>3</v>
      </c>
      <c r="G317">
        <v>1</v>
      </c>
      <c r="H317" t="s">
        <v>14</v>
      </c>
      <c r="I317" t="b">
        <v>0</v>
      </c>
      <c r="J317">
        <f t="shared" si="8"/>
        <v>4</v>
      </c>
      <c r="K317" t="str">
        <f t="shared" si="9"/>
        <v>Home Win</v>
      </c>
    </row>
    <row r="318" spans="1:11" x14ac:dyDescent="0.35">
      <c r="A318">
        <v>317</v>
      </c>
      <c r="B318">
        <v>1982</v>
      </c>
      <c r="C318" s="1">
        <v>30118</v>
      </c>
      <c r="D318" t="s">
        <v>73</v>
      </c>
      <c r="E318" t="s">
        <v>27</v>
      </c>
      <c r="F318">
        <v>1</v>
      </c>
      <c r="G318">
        <v>1</v>
      </c>
      <c r="H318" t="s">
        <v>84</v>
      </c>
      <c r="I318" t="b">
        <v>1</v>
      </c>
      <c r="J318">
        <f t="shared" si="8"/>
        <v>2</v>
      </c>
      <c r="K318" t="str">
        <f t="shared" si="9"/>
        <v>Draw</v>
      </c>
    </row>
    <row r="319" spans="1:11" x14ac:dyDescent="0.35">
      <c r="A319">
        <v>318</v>
      </c>
      <c r="B319">
        <v>1982</v>
      </c>
      <c r="C319" s="1">
        <v>30119</v>
      </c>
      <c r="D319" t="s">
        <v>73</v>
      </c>
      <c r="E319" t="s">
        <v>21</v>
      </c>
      <c r="F319">
        <v>0</v>
      </c>
      <c r="G319">
        <v>1</v>
      </c>
      <c r="H319" t="s">
        <v>20</v>
      </c>
      <c r="I319" t="b">
        <v>0</v>
      </c>
      <c r="J319">
        <f t="shared" si="8"/>
        <v>1</v>
      </c>
      <c r="K319" t="str">
        <f t="shared" si="9"/>
        <v>Away Win</v>
      </c>
    </row>
    <row r="320" spans="1:11" x14ac:dyDescent="0.35">
      <c r="A320">
        <v>319</v>
      </c>
      <c r="B320">
        <v>1982</v>
      </c>
      <c r="C320" s="1">
        <v>30119</v>
      </c>
      <c r="D320" t="s">
        <v>73</v>
      </c>
      <c r="E320" t="s">
        <v>12</v>
      </c>
      <c r="F320">
        <v>1</v>
      </c>
      <c r="G320">
        <v>1</v>
      </c>
      <c r="H320" t="s">
        <v>85</v>
      </c>
      <c r="I320" t="b">
        <v>0</v>
      </c>
      <c r="J320">
        <f t="shared" si="8"/>
        <v>2</v>
      </c>
      <c r="K320" t="str">
        <f t="shared" si="9"/>
        <v>Draw</v>
      </c>
    </row>
    <row r="321" spans="1:11" x14ac:dyDescent="0.35">
      <c r="A321">
        <v>320</v>
      </c>
      <c r="B321">
        <v>1982</v>
      </c>
      <c r="C321" s="1">
        <v>30119</v>
      </c>
      <c r="D321" t="s">
        <v>73</v>
      </c>
      <c r="E321" t="s">
        <v>47</v>
      </c>
      <c r="F321">
        <v>0</v>
      </c>
      <c r="G321">
        <v>0</v>
      </c>
      <c r="H321" t="s">
        <v>66</v>
      </c>
      <c r="I321" t="b">
        <v>0</v>
      </c>
      <c r="J321">
        <f t="shared" si="8"/>
        <v>0</v>
      </c>
      <c r="K321" t="str">
        <f t="shared" si="9"/>
        <v>Draw</v>
      </c>
    </row>
    <row r="322" spans="1:11" x14ac:dyDescent="0.35">
      <c r="A322">
        <v>321</v>
      </c>
      <c r="B322">
        <v>1982</v>
      </c>
      <c r="C322" s="1">
        <v>30120</v>
      </c>
      <c r="D322" t="s">
        <v>73</v>
      </c>
      <c r="E322" t="s">
        <v>11</v>
      </c>
      <c r="F322">
        <v>1</v>
      </c>
      <c r="G322">
        <v>1</v>
      </c>
      <c r="H322" t="s">
        <v>49</v>
      </c>
      <c r="I322" t="b">
        <v>0</v>
      </c>
      <c r="J322">
        <f t="shared" si="8"/>
        <v>2</v>
      </c>
      <c r="K322" t="str">
        <f t="shared" si="9"/>
        <v>Draw</v>
      </c>
    </row>
    <row r="323" spans="1:11" x14ac:dyDescent="0.35">
      <c r="A323">
        <v>322</v>
      </c>
      <c r="B323">
        <v>1982</v>
      </c>
      <c r="C323" s="1">
        <v>30120</v>
      </c>
      <c r="D323" t="s">
        <v>73</v>
      </c>
      <c r="E323" t="s">
        <v>9</v>
      </c>
      <c r="F323">
        <v>4</v>
      </c>
      <c r="G323">
        <v>1</v>
      </c>
      <c r="H323" t="s">
        <v>15</v>
      </c>
      <c r="I323" t="b">
        <v>0</v>
      </c>
      <c r="J323">
        <f t="shared" ref="J323:J386" si="10">F:F+G:G</f>
        <v>5</v>
      </c>
      <c r="K323" t="str">
        <f t="shared" ref="K323:K386" si="11">IF(F323&gt;G323,"Home Win",IF(F323&lt;G323,"Away Win","Draw"))</f>
        <v>Home Win</v>
      </c>
    </row>
    <row r="324" spans="1:11" x14ac:dyDescent="0.35">
      <c r="A324">
        <v>323</v>
      </c>
      <c r="B324">
        <v>1982</v>
      </c>
      <c r="C324" s="1">
        <v>30120</v>
      </c>
      <c r="D324" t="s">
        <v>73</v>
      </c>
      <c r="E324" t="s">
        <v>16</v>
      </c>
      <c r="F324">
        <v>4</v>
      </c>
      <c r="G324">
        <v>1</v>
      </c>
      <c r="H324" t="s">
        <v>63</v>
      </c>
      <c r="I324" t="b">
        <v>0</v>
      </c>
      <c r="J324">
        <f t="shared" si="10"/>
        <v>5</v>
      </c>
      <c r="K324" t="str">
        <f t="shared" si="11"/>
        <v>Home Win</v>
      </c>
    </row>
    <row r="325" spans="1:11" x14ac:dyDescent="0.35">
      <c r="A325">
        <v>324</v>
      </c>
      <c r="B325">
        <v>1982</v>
      </c>
      <c r="C325" s="1">
        <v>30121</v>
      </c>
      <c r="D325" t="s">
        <v>73</v>
      </c>
      <c r="E325" t="s">
        <v>26</v>
      </c>
      <c r="F325">
        <v>0</v>
      </c>
      <c r="G325">
        <v>0</v>
      </c>
      <c r="H325" t="s">
        <v>81</v>
      </c>
      <c r="I325" t="b">
        <v>0</v>
      </c>
      <c r="J325">
        <f t="shared" si="10"/>
        <v>0</v>
      </c>
      <c r="K325" t="str">
        <f t="shared" si="11"/>
        <v>Draw</v>
      </c>
    </row>
    <row r="326" spans="1:11" x14ac:dyDescent="0.35">
      <c r="A326">
        <v>325</v>
      </c>
      <c r="B326">
        <v>1982</v>
      </c>
      <c r="C326" s="1">
        <v>30121</v>
      </c>
      <c r="D326" t="s">
        <v>73</v>
      </c>
      <c r="E326" t="s">
        <v>33</v>
      </c>
      <c r="F326">
        <v>1</v>
      </c>
      <c r="G326">
        <v>0</v>
      </c>
      <c r="H326" t="s">
        <v>72</v>
      </c>
      <c r="I326" t="b">
        <v>0</v>
      </c>
      <c r="J326">
        <f t="shared" si="10"/>
        <v>1</v>
      </c>
      <c r="K326" t="str">
        <f t="shared" si="11"/>
        <v>Home Win</v>
      </c>
    </row>
    <row r="327" spans="1:11" x14ac:dyDescent="0.35">
      <c r="A327">
        <v>326</v>
      </c>
      <c r="B327">
        <v>1982</v>
      </c>
      <c r="C327" s="1">
        <v>30121</v>
      </c>
      <c r="D327" t="s">
        <v>73</v>
      </c>
      <c r="E327" t="s">
        <v>32</v>
      </c>
      <c r="F327">
        <v>3</v>
      </c>
      <c r="G327">
        <v>0</v>
      </c>
      <c r="H327" t="s">
        <v>82</v>
      </c>
      <c r="I327" t="b">
        <v>0</v>
      </c>
      <c r="J327">
        <f t="shared" si="10"/>
        <v>3</v>
      </c>
      <c r="K327" t="str">
        <f t="shared" si="11"/>
        <v>Home Win</v>
      </c>
    </row>
    <row r="328" spans="1:11" x14ac:dyDescent="0.35">
      <c r="A328">
        <v>327</v>
      </c>
      <c r="B328">
        <v>1982</v>
      </c>
      <c r="C328" s="1">
        <v>30122</v>
      </c>
      <c r="D328" t="s">
        <v>73</v>
      </c>
      <c r="E328" t="s">
        <v>13</v>
      </c>
      <c r="F328">
        <v>4</v>
      </c>
      <c r="G328">
        <v>1</v>
      </c>
      <c r="H328" t="s">
        <v>21</v>
      </c>
      <c r="I328" t="b">
        <v>0</v>
      </c>
      <c r="J328">
        <f t="shared" si="10"/>
        <v>5</v>
      </c>
      <c r="K328" t="str">
        <f t="shared" si="11"/>
        <v>Home Win</v>
      </c>
    </row>
    <row r="329" spans="1:11" x14ac:dyDescent="0.35">
      <c r="A329">
        <v>328</v>
      </c>
      <c r="B329">
        <v>1982</v>
      </c>
      <c r="C329" s="1">
        <v>30122</v>
      </c>
      <c r="D329" t="s">
        <v>73</v>
      </c>
      <c r="E329" t="s">
        <v>22</v>
      </c>
      <c r="F329">
        <v>2</v>
      </c>
      <c r="G329">
        <v>0</v>
      </c>
      <c r="H329" t="s">
        <v>12</v>
      </c>
      <c r="I329" t="b">
        <v>0</v>
      </c>
      <c r="J329">
        <f t="shared" si="10"/>
        <v>2</v>
      </c>
      <c r="K329" t="str">
        <f t="shared" si="11"/>
        <v>Home Win</v>
      </c>
    </row>
    <row r="330" spans="1:11" x14ac:dyDescent="0.35">
      <c r="A330">
        <v>329</v>
      </c>
      <c r="B330">
        <v>1982</v>
      </c>
      <c r="C330" s="1">
        <v>30122</v>
      </c>
      <c r="D330" t="s">
        <v>73</v>
      </c>
      <c r="E330" t="s">
        <v>27</v>
      </c>
      <c r="F330">
        <v>2</v>
      </c>
      <c r="G330">
        <v>1</v>
      </c>
      <c r="H330" t="s">
        <v>47</v>
      </c>
      <c r="I330" t="b">
        <v>1</v>
      </c>
      <c r="J330">
        <f t="shared" si="10"/>
        <v>3</v>
      </c>
      <c r="K330" t="str">
        <f t="shared" si="11"/>
        <v>Home Win</v>
      </c>
    </row>
    <row r="331" spans="1:11" x14ac:dyDescent="0.35">
      <c r="A331">
        <v>330</v>
      </c>
      <c r="B331">
        <v>1982</v>
      </c>
      <c r="C331" s="1">
        <v>30123</v>
      </c>
      <c r="D331" t="s">
        <v>73</v>
      </c>
      <c r="E331" t="s">
        <v>83</v>
      </c>
      <c r="F331">
        <v>0</v>
      </c>
      <c r="G331">
        <v>2</v>
      </c>
      <c r="H331" t="s">
        <v>20</v>
      </c>
      <c r="I331" t="b">
        <v>0</v>
      </c>
      <c r="J331">
        <f t="shared" si="10"/>
        <v>2</v>
      </c>
      <c r="K331" t="str">
        <f t="shared" si="11"/>
        <v>Away Win</v>
      </c>
    </row>
    <row r="332" spans="1:11" x14ac:dyDescent="0.35">
      <c r="A332">
        <v>331</v>
      </c>
      <c r="B332">
        <v>1982</v>
      </c>
      <c r="C332" s="1">
        <v>30123</v>
      </c>
      <c r="D332" t="s">
        <v>73</v>
      </c>
      <c r="E332" t="s">
        <v>14</v>
      </c>
      <c r="F332">
        <v>4</v>
      </c>
      <c r="G332">
        <v>1</v>
      </c>
      <c r="H332" t="s">
        <v>85</v>
      </c>
      <c r="I332" t="b">
        <v>0</v>
      </c>
      <c r="J332">
        <f t="shared" si="10"/>
        <v>5</v>
      </c>
      <c r="K332" t="str">
        <f t="shared" si="11"/>
        <v>Home Win</v>
      </c>
    </row>
    <row r="333" spans="1:11" x14ac:dyDescent="0.35">
      <c r="A333">
        <v>332</v>
      </c>
      <c r="B333">
        <v>1982</v>
      </c>
      <c r="C333" s="1">
        <v>30123</v>
      </c>
      <c r="D333" t="s">
        <v>73</v>
      </c>
      <c r="E333" t="s">
        <v>84</v>
      </c>
      <c r="F333">
        <v>1</v>
      </c>
      <c r="G333">
        <v>1</v>
      </c>
      <c r="H333" t="s">
        <v>66</v>
      </c>
      <c r="I333" t="b">
        <v>0</v>
      </c>
      <c r="J333">
        <f t="shared" si="10"/>
        <v>2</v>
      </c>
      <c r="K333" t="str">
        <f t="shared" si="11"/>
        <v>Draw</v>
      </c>
    </row>
    <row r="334" spans="1:11" x14ac:dyDescent="0.35">
      <c r="A334">
        <v>333</v>
      </c>
      <c r="B334">
        <v>1982</v>
      </c>
      <c r="C334" s="1">
        <v>30124</v>
      </c>
      <c r="D334" t="s">
        <v>73</v>
      </c>
      <c r="E334" t="s">
        <v>26</v>
      </c>
      <c r="F334">
        <v>5</v>
      </c>
      <c r="G334">
        <v>1</v>
      </c>
      <c r="H334" t="s">
        <v>49</v>
      </c>
      <c r="I334" t="b">
        <v>0</v>
      </c>
      <c r="J334">
        <f t="shared" si="10"/>
        <v>6</v>
      </c>
      <c r="K334" t="str">
        <f t="shared" si="11"/>
        <v>Home Win</v>
      </c>
    </row>
    <row r="335" spans="1:11" x14ac:dyDescent="0.35">
      <c r="A335">
        <v>334</v>
      </c>
      <c r="B335">
        <v>1982</v>
      </c>
      <c r="C335" s="1">
        <v>30124</v>
      </c>
      <c r="D335" t="s">
        <v>73</v>
      </c>
      <c r="E335" t="s">
        <v>33</v>
      </c>
      <c r="F335">
        <v>1</v>
      </c>
      <c r="G335">
        <v>1</v>
      </c>
      <c r="H335" t="s">
        <v>15</v>
      </c>
      <c r="I335" t="b">
        <v>0</v>
      </c>
      <c r="J335">
        <f t="shared" si="10"/>
        <v>2</v>
      </c>
      <c r="K335" t="str">
        <f t="shared" si="11"/>
        <v>Draw</v>
      </c>
    </row>
    <row r="336" spans="1:11" x14ac:dyDescent="0.35">
      <c r="A336">
        <v>335</v>
      </c>
      <c r="B336">
        <v>1982</v>
      </c>
      <c r="C336" s="1">
        <v>30124</v>
      </c>
      <c r="D336" t="s">
        <v>73</v>
      </c>
      <c r="E336" t="s">
        <v>32</v>
      </c>
      <c r="F336">
        <v>2</v>
      </c>
      <c r="G336">
        <v>2</v>
      </c>
      <c r="H336" t="s">
        <v>63</v>
      </c>
      <c r="I336" t="b">
        <v>0</v>
      </c>
      <c r="J336">
        <f t="shared" si="10"/>
        <v>4</v>
      </c>
      <c r="K336" t="str">
        <f t="shared" si="11"/>
        <v>Draw</v>
      </c>
    </row>
    <row r="337" spans="1:11" x14ac:dyDescent="0.35">
      <c r="A337">
        <v>336</v>
      </c>
      <c r="B337">
        <v>1982</v>
      </c>
      <c r="C337" s="1">
        <v>30125</v>
      </c>
      <c r="D337" t="s">
        <v>73</v>
      </c>
      <c r="E337" t="s">
        <v>11</v>
      </c>
      <c r="F337">
        <v>1</v>
      </c>
      <c r="G337">
        <v>1</v>
      </c>
      <c r="H337" t="s">
        <v>81</v>
      </c>
      <c r="I337" t="b">
        <v>0</v>
      </c>
      <c r="J337">
        <f t="shared" si="10"/>
        <v>2</v>
      </c>
      <c r="K337" t="str">
        <f t="shared" si="11"/>
        <v>Draw</v>
      </c>
    </row>
    <row r="338" spans="1:11" x14ac:dyDescent="0.35">
      <c r="A338">
        <v>337</v>
      </c>
      <c r="B338">
        <v>1982</v>
      </c>
      <c r="C338" s="1">
        <v>30125</v>
      </c>
      <c r="D338" t="s">
        <v>73</v>
      </c>
      <c r="E338" t="s">
        <v>9</v>
      </c>
      <c r="F338">
        <v>2</v>
      </c>
      <c r="G338">
        <v>0</v>
      </c>
      <c r="H338" t="s">
        <v>72</v>
      </c>
      <c r="I338" t="b">
        <v>0</v>
      </c>
      <c r="J338">
        <f t="shared" si="10"/>
        <v>2</v>
      </c>
      <c r="K338" t="str">
        <f t="shared" si="11"/>
        <v>Home Win</v>
      </c>
    </row>
    <row r="339" spans="1:11" x14ac:dyDescent="0.35">
      <c r="A339">
        <v>338</v>
      </c>
      <c r="B339">
        <v>1982</v>
      </c>
      <c r="C339" s="1">
        <v>30125</v>
      </c>
      <c r="D339" t="s">
        <v>73</v>
      </c>
      <c r="E339" t="s">
        <v>16</v>
      </c>
      <c r="F339">
        <v>4</v>
      </c>
      <c r="G339">
        <v>0</v>
      </c>
      <c r="H339" t="s">
        <v>82</v>
      </c>
      <c r="I339" t="b">
        <v>0</v>
      </c>
      <c r="J339">
        <f t="shared" si="10"/>
        <v>4</v>
      </c>
      <c r="K339" t="str">
        <f t="shared" si="11"/>
        <v>Home Win</v>
      </c>
    </row>
    <row r="340" spans="1:11" x14ac:dyDescent="0.35">
      <c r="A340">
        <v>339</v>
      </c>
      <c r="B340">
        <v>1982</v>
      </c>
      <c r="C340" s="1">
        <v>30126</v>
      </c>
      <c r="D340" t="s">
        <v>73</v>
      </c>
      <c r="E340" t="s">
        <v>83</v>
      </c>
      <c r="F340">
        <v>3</v>
      </c>
      <c r="G340">
        <v>2</v>
      </c>
      <c r="H340" t="s">
        <v>21</v>
      </c>
      <c r="I340" t="b">
        <v>0</v>
      </c>
      <c r="J340">
        <f t="shared" si="10"/>
        <v>5</v>
      </c>
      <c r="K340" t="str">
        <f t="shared" si="11"/>
        <v>Home Win</v>
      </c>
    </row>
    <row r="341" spans="1:11" x14ac:dyDescent="0.35">
      <c r="A341">
        <v>340</v>
      </c>
      <c r="B341">
        <v>1982</v>
      </c>
      <c r="C341" s="1">
        <v>30126</v>
      </c>
      <c r="D341" t="s">
        <v>73</v>
      </c>
      <c r="E341" t="s">
        <v>14</v>
      </c>
      <c r="F341">
        <v>1</v>
      </c>
      <c r="G341">
        <v>1</v>
      </c>
      <c r="H341" t="s">
        <v>12</v>
      </c>
      <c r="I341" t="b">
        <v>0</v>
      </c>
      <c r="J341">
        <f t="shared" si="10"/>
        <v>2</v>
      </c>
      <c r="K341" t="str">
        <f t="shared" si="11"/>
        <v>Draw</v>
      </c>
    </row>
    <row r="342" spans="1:11" x14ac:dyDescent="0.35">
      <c r="A342">
        <v>341</v>
      </c>
      <c r="B342">
        <v>1982</v>
      </c>
      <c r="C342" s="1">
        <v>30126</v>
      </c>
      <c r="D342" t="s">
        <v>73</v>
      </c>
      <c r="E342" t="s">
        <v>84</v>
      </c>
      <c r="F342">
        <v>0</v>
      </c>
      <c r="G342">
        <v>1</v>
      </c>
      <c r="H342" t="s">
        <v>47</v>
      </c>
      <c r="I342" t="b">
        <v>0</v>
      </c>
      <c r="J342">
        <f t="shared" si="10"/>
        <v>1</v>
      </c>
      <c r="K342" t="str">
        <f t="shared" si="11"/>
        <v>Away Win</v>
      </c>
    </row>
    <row r="343" spans="1:11" x14ac:dyDescent="0.35">
      <c r="A343">
        <v>342</v>
      </c>
      <c r="B343">
        <v>1982</v>
      </c>
      <c r="C343" s="1">
        <v>30127</v>
      </c>
      <c r="D343" t="s">
        <v>73</v>
      </c>
      <c r="E343" t="s">
        <v>13</v>
      </c>
      <c r="F343">
        <v>1</v>
      </c>
      <c r="G343">
        <v>0</v>
      </c>
      <c r="H343" t="s">
        <v>20</v>
      </c>
      <c r="I343" t="b">
        <v>0</v>
      </c>
      <c r="J343">
        <f t="shared" si="10"/>
        <v>1</v>
      </c>
      <c r="K343" t="str">
        <f t="shared" si="11"/>
        <v>Home Win</v>
      </c>
    </row>
    <row r="344" spans="1:11" x14ac:dyDescent="0.35">
      <c r="A344">
        <v>343</v>
      </c>
      <c r="B344">
        <v>1982</v>
      </c>
      <c r="C344" s="1">
        <v>30127</v>
      </c>
      <c r="D344" t="s">
        <v>73</v>
      </c>
      <c r="E344" t="s">
        <v>22</v>
      </c>
      <c r="F344">
        <v>1</v>
      </c>
      <c r="G344">
        <v>0</v>
      </c>
      <c r="H344" t="s">
        <v>85</v>
      </c>
      <c r="I344" t="b">
        <v>0</v>
      </c>
      <c r="J344">
        <f t="shared" si="10"/>
        <v>1</v>
      </c>
      <c r="K344" t="str">
        <f t="shared" si="11"/>
        <v>Home Win</v>
      </c>
    </row>
    <row r="345" spans="1:11" x14ac:dyDescent="0.35">
      <c r="A345">
        <v>344</v>
      </c>
      <c r="B345">
        <v>1982</v>
      </c>
      <c r="C345" s="1">
        <v>30127</v>
      </c>
      <c r="D345" t="s">
        <v>73</v>
      </c>
      <c r="E345" t="s">
        <v>27</v>
      </c>
      <c r="F345">
        <v>0</v>
      </c>
      <c r="G345">
        <v>1</v>
      </c>
      <c r="H345" t="s">
        <v>66</v>
      </c>
      <c r="I345" t="b">
        <v>1</v>
      </c>
      <c r="J345">
        <f t="shared" si="10"/>
        <v>1</v>
      </c>
      <c r="K345" t="str">
        <f t="shared" si="11"/>
        <v>Away Win</v>
      </c>
    </row>
    <row r="346" spans="1:11" x14ac:dyDescent="0.35">
      <c r="A346">
        <v>345</v>
      </c>
      <c r="B346">
        <v>1982</v>
      </c>
      <c r="C346" s="1">
        <v>30130</v>
      </c>
      <c r="D346" t="s">
        <v>78</v>
      </c>
      <c r="E346" t="s">
        <v>20</v>
      </c>
      <c r="F346">
        <v>0</v>
      </c>
      <c r="G346">
        <v>1</v>
      </c>
      <c r="H346" t="s">
        <v>14</v>
      </c>
      <c r="I346" t="b">
        <v>0</v>
      </c>
      <c r="J346">
        <f t="shared" si="10"/>
        <v>1</v>
      </c>
      <c r="K346" t="str">
        <f t="shared" si="11"/>
        <v>Away Win</v>
      </c>
    </row>
    <row r="347" spans="1:11" x14ac:dyDescent="0.35">
      <c r="A347">
        <v>346</v>
      </c>
      <c r="B347">
        <v>1982</v>
      </c>
      <c r="C347" s="1">
        <v>30130</v>
      </c>
      <c r="D347" t="s">
        <v>78</v>
      </c>
      <c r="E347" t="s">
        <v>26</v>
      </c>
      <c r="F347">
        <v>3</v>
      </c>
      <c r="G347">
        <v>0</v>
      </c>
      <c r="H347" t="s">
        <v>33</v>
      </c>
      <c r="I347" t="b">
        <v>0</v>
      </c>
      <c r="J347">
        <f t="shared" si="10"/>
        <v>3</v>
      </c>
      <c r="K347" t="str">
        <f t="shared" si="11"/>
        <v>Home Win</v>
      </c>
    </row>
    <row r="348" spans="1:11" x14ac:dyDescent="0.35">
      <c r="A348">
        <v>347</v>
      </c>
      <c r="B348">
        <v>1982</v>
      </c>
      <c r="C348" s="1">
        <v>30131</v>
      </c>
      <c r="D348" t="s">
        <v>78</v>
      </c>
      <c r="E348" t="s">
        <v>11</v>
      </c>
      <c r="F348">
        <v>2</v>
      </c>
      <c r="G348">
        <v>1</v>
      </c>
      <c r="H348" t="s">
        <v>9</v>
      </c>
      <c r="I348" t="b">
        <v>0</v>
      </c>
      <c r="J348">
        <f t="shared" si="10"/>
        <v>3</v>
      </c>
      <c r="K348" t="str">
        <f t="shared" si="11"/>
        <v>Home Win</v>
      </c>
    </row>
    <row r="349" spans="1:11" x14ac:dyDescent="0.35">
      <c r="A349">
        <v>348</v>
      </c>
      <c r="B349">
        <v>1982</v>
      </c>
      <c r="C349" s="1">
        <v>30131</v>
      </c>
      <c r="D349" t="s">
        <v>78</v>
      </c>
      <c r="E349" t="s">
        <v>13</v>
      </c>
      <c r="F349">
        <v>0</v>
      </c>
      <c r="G349">
        <v>0</v>
      </c>
      <c r="H349" t="s">
        <v>22</v>
      </c>
      <c r="I349" t="b">
        <v>0</v>
      </c>
      <c r="J349">
        <f t="shared" si="10"/>
        <v>0</v>
      </c>
      <c r="K349" t="str">
        <f t="shared" si="11"/>
        <v>Draw</v>
      </c>
    </row>
    <row r="350" spans="1:11" x14ac:dyDescent="0.35">
      <c r="A350">
        <v>349</v>
      </c>
      <c r="B350">
        <v>1982</v>
      </c>
      <c r="C350" s="1">
        <v>30133</v>
      </c>
      <c r="D350" t="s">
        <v>78</v>
      </c>
      <c r="E350" t="s">
        <v>20</v>
      </c>
      <c r="F350">
        <v>2</v>
      </c>
      <c r="G350">
        <v>2</v>
      </c>
      <c r="H350" t="s">
        <v>66</v>
      </c>
      <c r="I350" t="b">
        <v>0</v>
      </c>
      <c r="J350">
        <f t="shared" si="10"/>
        <v>4</v>
      </c>
      <c r="K350" t="str">
        <f t="shared" si="11"/>
        <v>Draw</v>
      </c>
    </row>
    <row r="351" spans="1:11" x14ac:dyDescent="0.35">
      <c r="A351">
        <v>350</v>
      </c>
      <c r="B351">
        <v>1982</v>
      </c>
      <c r="C351" s="1">
        <v>30133</v>
      </c>
      <c r="D351" t="s">
        <v>78</v>
      </c>
      <c r="E351" t="s">
        <v>33</v>
      </c>
      <c r="F351">
        <v>0</v>
      </c>
      <c r="G351">
        <v>1</v>
      </c>
      <c r="H351" t="s">
        <v>32</v>
      </c>
      <c r="I351" t="b">
        <v>0</v>
      </c>
      <c r="J351">
        <f t="shared" si="10"/>
        <v>1</v>
      </c>
      <c r="K351" t="str">
        <f t="shared" si="11"/>
        <v>Away Win</v>
      </c>
    </row>
    <row r="352" spans="1:11" x14ac:dyDescent="0.35">
      <c r="A352">
        <v>351</v>
      </c>
      <c r="B352">
        <v>1982</v>
      </c>
      <c r="C352" s="1">
        <v>30134</v>
      </c>
      <c r="D352" t="s">
        <v>78</v>
      </c>
      <c r="E352" t="s">
        <v>9</v>
      </c>
      <c r="F352">
        <v>1</v>
      </c>
      <c r="G352">
        <v>3</v>
      </c>
      <c r="H352" t="s">
        <v>16</v>
      </c>
      <c r="I352" t="b">
        <v>0</v>
      </c>
      <c r="J352">
        <f t="shared" si="10"/>
        <v>4</v>
      </c>
      <c r="K352" t="str">
        <f t="shared" si="11"/>
        <v>Away Win</v>
      </c>
    </row>
    <row r="353" spans="1:11" x14ac:dyDescent="0.35">
      <c r="A353">
        <v>352</v>
      </c>
      <c r="B353">
        <v>1982</v>
      </c>
      <c r="C353" s="1">
        <v>30134</v>
      </c>
      <c r="D353" t="s">
        <v>78</v>
      </c>
      <c r="E353" t="s">
        <v>27</v>
      </c>
      <c r="F353">
        <v>1</v>
      </c>
      <c r="G353">
        <v>2</v>
      </c>
      <c r="H353" t="s">
        <v>13</v>
      </c>
      <c r="I353" t="b">
        <v>1</v>
      </c>
      <c r="J353">
        <f t="shared" si="10"/>
        <v>3</v>
      </c>
      <c r="K353" t="str">
        <f t="shared" si="11"/>
        <v>Away Win</v>
      </c>
    </row>
    <row r="354" spans="1:11" x14ac:dyDescent="0.35">
      <c r="A354">
        <v>353</v>
      </c>
      <c r="B354">
        <v>1982</v>
      </c>
      <c r="C354" s="1">
        <v>30136</v>
      </c>
      <c r="D354" t="s">
        <v>78</v>
      </c>
      <c r="E354" t="s">
        <v>14</v>
      </c>
      <c r="F354">
        <v>4</v>
      </c>
      <c r="G354">
        <v>1</v>
      </c>
      <c r="H354" t="s">
        <v>66</v>
      </c>
      <c r="I354" t="b">
        <v>0</v>
      </c>
      <c r="J354">
        <f t="shared" si="10"/>
        <v>5</v>
      </c>
      <c r="K354" t="str">
        <f t="shared" si="11"/>
        <v>Home Win</v>
      </c>
    </row>
    <row r="355" spans="1:11" x14ac:dyDescent="0.35">
      <c r="A355">
        <v>354</v>
      </c>
      <c r="B355">
        <v>1982</v>
      </c>
      <c r="C355" s="1">
        <v>30136</v>
      </c>
      <c r="D355" t="s">
        <v>78</v>
      </c>
      <c r="E355" t="s">
        <v>26</v>
      </c>
      <c r="F355">
        <v>0</v>
      </c>
      <c r="G355">
        <v>0</v>
      </c>
      <c r="H355" t="s">
        <v>32</v>
      </c>
      <c r="I355" t="b">
        <v>0</v>
      </c>
      <c r="J355">
        <f t="shared" si="10"/>
        <v>0</v>
      </c>
      <c r="K355" t="str">
        <f t="shared" si="11"/>
        <v>Draw</v>
      </c>
    </row>
    <row r="356" spans="1:11" x14ac:dyDescent="0.35">
      <c r="A356">
        <v>355</v>
      </c>
      <c r="B356">
        <v>1982</v>
      </c>
      <c r="C356" s="1">
        <v>30137</v>
      </c>
      <c r="D356" t="s">
        <v>78</v>
      </c>
      <c r="E356" t="s">
        <v>11</v>
      </c>
      <c r="F356">
        <v>3</v>
      </c>
      <c r="G356">
        <v>2</v>
      </c>
      <c r="H356" t="s">
        <v>16</v>
      </c>
      <c r="I356" t="b">
        <v>0</v>
      </c>
      <c r="J356">
        <f t="shared" si="10"/>
        <v>5</v>
      </c>
      <c r="K356" t="str">
        <f t="shared" si="11"/>
        <v>Home Win</v>
      </c>
    </row>
    <row r="357" spans="1:11" x14ac:dyDescent="0.35">
      <c r="A357">
        <v>356</v>
      </c>
      <c r="B357">
        <v>1982</v>
      </c>
      <c r="C357" s="1">
        <v>30137</v>
      </c>
      <c r="D357" t="s">
        <v>78</v>
      </c>
      <c r="E357" t="s">
        <v>27</v>
      </c>
      <c r="F357">
        <v>0</v>
      </c>
      <c r="G357">
        <v>0</v>
      </c>
      <c r="H357" t="s">
        <v>22</v>
      </c>
      <c r="I357" t="b">
        <v>1</v>
      </c>
      <c r="J357">
        <f t="shared" si="10"/>
        <v>0</v>
      </c>
      <c r="K357" t="str">
        <f t="shared" si="11"/>
        <v>Draw</v>
      </c>
    </row>
    <row r="358" spans="1:11" x14ac:dyDescent="0.35">
      <c r="A358">
        <v>357</v>
      </c>
      <c r="B358">
        <v>1982</v>
      </c>
      <c r="C358" s="1">
        <v>30140</v>
      </c>
      <c r="D358" t="s">
        <v>52</v>
      </c>
      <c r="E358" t="s">
        <v>26</v>
      </c>
      <c r="F358">
        <v>0</v>
      </c>
      <c r="G358">
        <v>2</v>
      </c>
      <c r="H358" t="s">
        <v>11</v>
      </c>
      <c r="I358" t="b">
        <v>0</v>
      </c>
      <c r="J358">
        <f t="shared" si="10"/>
        <v>2</v>
      </c>
      <c r="K358" t="str">
        <f t="shared" si="11"/>
        <v>Away Win</v>
      </c>
    </row>
    <row r="359" spans="1:11" x14ac:dyDescent="0.35">
      <c r="A359">
        <v>358</v>
      </c>
      <c r="B359">
        <v>1982</v>
      </c>
      <c r="C359" s="1">
        <v>30140</v>
      </c>
      <c r="D359" t="s">
        <v>52</v>
      </c>
      <c r="E359" t="s">
        <v>13</v>
      </c>
      <c r="F359">
        <v>3</v>
      </c>
      <c r="G359">
        <v>3</v>
      </c>
      <c r="H359" t="s">
        <v>14</v>
      </c>
      <c r="I359" t="b">
        <v>0</v>
      </c>
      <c r="J359">
        <f t="shared" si="10"/>
        <v>6</v>
      </c>
      <c r="K359" t="str">
        <f t="shared" si="11"/>
        <v>Draw</v>
      </c>
    </row>
    <row r="360" spans="1:11" x14ac:dyDescent="0.35">
      <c r="A360">
        <v>359</v>
      </c>
      <c r="B360">
        <v>1982</v>
      </c>
      <c r="C360" s="1">
        <v>30142</v>
      </c>
      <c r="D360" t="s">
        <v>57</v>
      </c>
      <c r="E360" t="s">
        <v>26</v>
      </c>
      <c r="F360">
        <v>3</v>
      </c>
      <c r="G360">
        <v>2</v>
      </c>
      <c r="H360" t="s">
        <v>14</v>
      </c>
      <c r="I360" t="b">
        <v>0</v>
      </c>
      <c r="J360">
        <f t="shared" si="10"/>
        <v>5</v>
      </c>
      <c r="K360" t="str">
        <f t="shared" si="11"/>
        <v>Home Win</v>
      </c>
    </row>
    <row r="361" spans="1:11" x14ac:dyDescent="0.35">
      <c r="A361">
        <v>360</v>
      </c>
      <c r="B361">
        <v>1982</v>
      </c>
      <c r="C361" s="1">
        <v>30143</v>
      </c>
      <c r="D361" t="s">
        <v>53</v>
      </c>
      <c r="E361" t="s">
        <v>11</v>
      </c>
      <c r="F361">
        <v>3</v>
      </c>
      <c r="G361">
        <v>1</v>
      </c>
      <c r="H361" t="s">
        <v>13</v>
      </c>
      <c r="I361" t="b">
        <v>0</v>
      </c>
      <c r="J361">
        <f t="shared" si="10"/>
        <v>4</v>
      </c>
      <c r="K361" t="str">
        <f t="shared" si="11"/>
        <v>Home Win</v>
      </c>
    </row>
    <row r="362" spans="1:11" x14ac:dyDescent="0.35">
      <c r="A362">
        <v>361</v>
      </c>
      <c r="B362">
        <v>1986</v>
      </c>
      <c r="C362" s="1">
        <v>31563</v>
      </c>
      <c r="D362" t="s">
        <v>45</v>
      </c>
      <c r="E362" t="s">
        <v>68</v>
      </c>
      <c r="F362">
        <v>1</v>
      </c>
      <c r="G362">
        <v>1</v>
      </c>
      <c r="H362" t="s">
        <v>11</v>
      </c>
      <c r="I362" t="b">
        <v>0</v>
      </c>
      <c r="J362">
        <f t="shared" si="10"/>
        <v>2</v>
      </c>
      <c r="K362" t="str">
        <f t="shared" si="11"/>
        <v>Draw</v>
      </c>
    </row>
    <row r="363" spans="1:11" x14ac:dyDescent="0.35">
      <c r="A363">
        <v>362</v>
      </c>
      <c r="B363">
        <v>1986</v>
      </c>
      <c r="C363" s="1">
        <v>31564</v>
      </c>
      <c r="D363" t="s">
        <v>45</v>
      </c>
      <c r="E363" t="s">
        <v>27</v>
      </c>
      <c r="F363">
        <v>0</v>
      </c>
      <c r="G363">
        <v>1</v>
      </c>
      <c r="H363" t="s">
        <v>16</v>
      </c>
      <c r="I363" t="b">
        <v>0</v>
      </c>
      <c r="J363">
        <f t="shared" si="10"/>
        <v>1</v>
      </c>
      <c r="K363" t="str">
        <f t="shared" si="11"/>
        <v>Away Win</v>
      </c>
    </row>
    <row r="364" spans="1:11" x14ac:dyDescent="0.35">
      <c r="A364">
        <v>363</v>
      </c>
      <c r="B364">
        <v>1986</v>
      </c>
      <c r="C364" s="1">
        <v>31564</v>
      </c>
      <c r="D364" t="s">
        <v>45</v>
      </c>
      <c r="E364" t="s">
        <v>86</v>
      </c>
      <c r="F364">
        <v>0</v>
      </c>
      <c r="G364">
        <v>1</v>
      </c>
      <c r="H364" t="s">
        <v>14</v>
      </c>
      <c r="I364" t="b">
        <v>0</v>
      </c>
      <c r="J364">
        <f t="shared" si="10"/>
        <v>1</v>
      </c>
      <c r="K364" t="str">
        <f t="shared" si="11"/>
        <v>Away Win</v>
      </c>
    </row>
    <row r="365" spans="1:11" x14ac:dyDescent="0.35">
      <c r="A365">
        <v>364</v>
      </c>
      <c r="B365">
        <v>1986</v>
      </c>
      <c r="C365" s="1">
        <v>31565</v>
      </c>
      <c r="D365" t="s">
        <v>45</v>
      </c>
      <c r="E365" t="s">
        <v>32</v>
      </c>
      <c r="F365">
        <v>6</v>
      </c>
      <c r="G365">
        <v>0</v>
      </c>
      <c r="H365" t="s">
        <v>15</v>
      </c>
      <c r="I365" t="b">
        <v>0</v>
      </c>
      <c r="J365">
        <f t="shared" si="10"/>
        <v>6</v>
      </c>
      <c r="K365" t="str">
        <f t="shared" si="11"/>
        <v>Home Win</v>
      </c>
    </row>
    <row r="366" spans="1:11" x14ac:dyDescent="0.35">
      <c r="A366">
        <v>365</v>
      </c>
      <c r="B366">
        <v>1986</v>
      </c>
      <c r="C366" s="1">
        <v>31565</v>
      </c>
      <c r="D366" t="s">
        <v>45</v>
      </c>
      <c r="E366" t="s">
        <v>9</v>
      </c>
      <c r="F366">
        <v>3</v>
      </c>
      <c r="G366">
        <v>1</v>
      </c>
      <c r="H366" t="s">
        <v>64</v>
      </c>
      <c r="I366" t="b">
        <v>0</v>
      </c>
      <c r="J366">
        <f t="shared" si="10"/>
        <v>4</v>
      </c>
      <c r="K366" t="str">
        <f t="shared" si="11"/>
        <v>Home Win</v>
      </c>
    </row>
    <row r="367" spans="1:11" x14ac:dyDescent="0.35">
      <c r="A367">
        <v>366</v>
      </c>
      <c r="B367">
        <v>1986</v>
      </c>
      <c r="C367" s="1">
        <v>31565</v>
      </c>
      <c r="D367" t="s">
        <v>45</v>
      </c>
      <c r="E367" t="s">
        <v>71</v>
      </c>
      <c r="F367">
        <v>0</v>
      </c>
      <c r="G367">
        <v>0</v>
      </c>
      <c r="H367" t="s">
        <v>26</v>
      </c>
      <c r="I367" t="b">
        <v>0</v>
      </c>
      <c r="J367">
        <f t="shared" si="10"/>
        <v>0</v>
      </c>
      <c r="K367" t="str">
        <f t="shared" si="11"/>
        <v>Draw</v>
      </c>
    </row>
    <row r="368" spans="1:11" x14ac:dyDescent="0.35">
      <c r="A368">
        <v>367</v>
      </c>
      <c r="B368">
        <v>1986</v>
      </c>
      <c r="C368" s="1">
        <v>31566</v>
      </c>
      <c r="D368" t="s">
        <v>45</v>
      </c>
      <c r="E368" t="s">
        <v>83</v>
      </c>
      <c r="F368">
        <v>1</v>
      </c>
      <c r="G368">
        <v>1</v>
      </c>
      <c r="H368" t="s">
        <v>66</v>
      </c>
      <c r="I368" t="b">
        <v>0</v>
      </c>
      <c r="J368">
        <f t="shared" si="10"/>
        <v>2</v>
      </c>
      <c r="K368" t="str">
        <f t="shared" si="11"/>
        <v>Draw</v>
      </c>
    </row>
    <row r="369" spans="1:11" x14ac:dyDescent="0.35">
      <c r="A369">
        <v>368</v>
      </c>
      <c r="B369">
        <v>1986</v>
      </c>
      <c r="C369" s="1">
        <v>31566</v>
      </c>
      <c r="D369" t="s">
        <v>45</v>
      </c>
      <c r="E369" t="s">
        <v>24</v>
      </c>
      <c r="F369">
        <v>2</v>
      </c>
      <c r="G369">
        <v>1</v>
      </c>
      <c r="H369" t="s">
        <v>33</v>
      </c>
      <c r="I369" t="b">
        <v>1</v>
      </c>
      <c r="J369">
        <f t="shared" si="10"/>
        <v>3</v>
      </c>
      <c r="K369" t="str">
        <f t="shared" si="11"/>
        <v>Home Win</v>
      </c>
    </row>
    <row r="370" spans="1:11" x14ac:dyDescent="0.35">
      <c r="A370">
        <v>369</v>
      </c>
      <c r="B370">
        <v>1986</v>
      </c>
      <c r="C370" s="1">
        <v>31566</v>
      </c>
      <c r="D370" t="s">
        <v>45</v>
      </c>
      <c r="E370" t="s">
        <v>23</v>
      </c>
      <c r="F370">
        <v>1</v>
      </c>
      <c r="G370">
        <v>0</v>
      </c>
      <c r="H370" t="s">
        <v>22</v>
      </c>
      <c r="I370" t="b">
        <v>0</v>
      </c>
      <c r="J370">
        <f t="shared" si="10"/>
        <v>1</v>
      </c>
      <c r="K370" t="str">
        <f t="shared" si="11"/>
        <v>Home Win</v>
      </c>
    </row>
    <row r="371" spans="1:11" x14ac:dyDescent="0.35">
      <c r="A371">
        <v>370</v>
      </c>
      <c r="B371">
        <v>1986</v>
      </c>
      <c r="C371" s="1">
        <v>31567</v>
      </c>
      <c r="D371" t="s">
        <v>45</v>
      </c>
      <c r="E371" t="s">
        <v>51</v>
      </c>
      <c r="F371">
        <v>1</v>
      </c>
      <c r="G371">
        <v>0</v>
      </c>
      <c r="H371" t="s">
        <v>87</v>
      </c>
      <c r="I371" t="b">
        <v>0</v>
      </c>
      <c r="J371">
        <f t="shared" si="10"/>
        <v>1</v>
      </c>
      <c r="K371" t="str">
        <f t="shared" si="11"/>
        <v>Home Win</v>
      </c>
    </row>
    <row r="372" spans="1:11" x14ac:dyDescent="0.35">
      <c r="A372">
        <v>371</v>
      </c>
      <c r="B372">
        <v>1986</v>
      </c>
      <c r="C372" s="1">
        <v>31567</v>
      </c>
      <c r="D372" t="s">
        <v>45</v>
      </c>
      <c r="E372" t="s">
        <v>8</v>
      </c>
      <c r="F372">
        <v>1</v>
      </c>
      <c r="G372">
        <v>1</v>
      </c>
      <c r="H372" t="s">
        <v>13</v>
      </c>
      <c r="I372" t="b">
        <v>0</v>
      </c>
      <c r="J372">
        <f t="shared" si="10"/>
        <v>2</v>
      </c>
      <c r="K372" t="str">
        <f t="shared" si="11"/>
        <v>Draw</v>
      </c>
    </row>
    <row r="373" spans="1:11" x14ac:dyDescent="0.35">
      <c r="A373">
        <v>372</v>
      </c>
      <c r="B373">
        <v>1986</v>
      </c>
      <c r="C373" s="1">
        <v>31567</v>
      </c>
      <c r="D373" t="s">
        <v>45</v>
      </c>
      <c r="E373" t="s">
        <v>63</v>
      </c>
      <c r="F373">
        <v>0</v>
      </c>
      <c r="G373">
        <v>1</v>
      </c>
      <c r="H373" t="s">
        <v>88</v>
      </c>
      <c r="I373" t="b">
        <v>0</v>
      </c>
      <c r="J373">
        <f t="shared" si="10"/>
        <v>1</v>
      </c>
      <c r="K373" t="str">
        <f t="shared" si="11"/>
        <v>Away Win</v>
      </c>
    </row>
    <row r="374" spans="1:11" x14ac:dyDescent="0.35">
      <c r="A374">
        <v>373</v>
      </c>
      <c r="B374">
        <v>1986</v>
      </c>
      <c r="C374" s="1">
        <v>31568</v>
      </c>
      <c r="D374" t="s">
        <v>45</v>
      </c>
      <c r="E374" t="s">
        <v>11</v>
      </c>
      <c r="F374">
        <v>1</v>
      </c>
      <c r="G374">
        <v>1</v>
      </c>
      <c r="H374" t="s">
        <v>9</v>
      </c>
      <c r="I374" t="b">
        <v>0</v>
      </c>
      <c r="J374">
        <f t="shared" si="10"/>
        <v>2</v>
      </c>
      <c r="K374" t="str">
        <f t="shared" si="11"/>
        <v>Draw</v>
      </c>
    </row>
    <row r="375" spans="1:11" x14ac:dyDescent="0.35">
      <c r="A375">
        <v>374</v>
      </c>
      <c r="B375">
        <v>1986</v>
      </c>
      <c r="C375" s="1">
        <v>31568</v>
      </c>
      <c r="D375" t="s">
        <v>45</v>
      </c>
      <c r="E375" t="s">
        <v>14</v>
      </c>
      <c r="F375">
        <v>1</v>
      </c>
      <c r="G375">
        <v>1</v>
      </c>
      <c r="H375" t="s">
        <v>32</v>
      </c>
      <c r="I375" t="b">
        <v>0</v>
      </c>
      <c r="J375">
        <f t="shared" si="10"/>
        <v>2</v>
      </c>
      <c r="K375" t="str">
        <f t="shared" si="11"/>
        <v>Draw</v>
      </c>
    </row>
    <row r="376" spans="1:11" x14ac:dyDescent="0.35">
      <c r="A376">
        <v>375</v>
      </c>
      <c r="B376">
        <v>1986</v>
      </c>
      <c r="C376" s="1">
        <v>31568</v>
      </c>
      <c r="D376" t="s">
        <v>45</v>
      </c>
      <c r="E376" t="s">
        <v>64</v>
      </c>
      <c r="F376">
        <v>1</v>
      </c>
      <c r="G376">
        <v>1</v>
      </c>
      <c r="H376" t="s">
        <v>68</v>
      </c>
      <c r="I376" t="b">
        <v>0</v>
      </c>
      <c r="J376">
        <f t="shared" si="10"/>
        <v>2</v>
      </c>
      <c r="K376" t="str">
        <f t="shared" si="11"/>
        <v>Draw</v>
      </c>
    </row>
    <row r="377" spans="1:11" x14ac:dyDescent="0.35">
      <c r="A377">
        <v>376</v>
      </c>
      <c r="B377">
        <v>1986</v>
      </c>
      <c r="C377" s="1">
        <v>31569</v>
      </c>
      <c r="D377" t="s">
        <v>45</v>
      </c>
      <c r="E377" t="s">
        <v>15</v>
      </c>
      <c r="F377">
        <v>2</v>
      </c>
      <c r="G377">
        <v>0</v>
      </c>
      <c r="H377" t="s">
        <v>86</v>
      </c>
      <c r="I377" t="b">
        <v>0</v>
      </c>
      <c r="J377">
        <f t="shared" si="10"/>
        <v>2</v>
      </c>
      <c r="K377" t="str">
        <f t="shared" si="11"/>
        <v>Home Win</v>
      </c>
    </row>
    <row r="378" spans="1:11" x14ac:dyDescent="0.35">
      <c r="A378">
        <v>377</v>
      </c>
      <c r="B378">
        <v>1986</v>
      </c>
      <c r="C378" s="1">
        <v>31569</v>
      </c>
      <c r="D378" t="s">
        <v>45</v>
      </c>
      <c r="E378" t="s">
        <v>16</v>
      </c>
      <c r="F378">
        <v>1</v>
      </c>
      <c r="G378">
        <v>0</v>
      </c>
      <c r="H378" t="s">
        <v>83</v>
      </c>
      <c r="I378" t="b">
        <v>0</v>
      </c>
      <c r="J378">
        <f t="shared" si="10"/>
        <v>1</v>
      </c>
      <c r="K378" t="str">
        <f t="shared" si="11"/>
        <v>Home Win</v>
      </c>
    </row>
    <row r="379" spans="1:11" x14ac:dyDescent="0.35">
      <c r="A379">
        <v>378</v>
      </c>
      <c r="B379">
        <v>1986</v>
      </c>
      <c r="C379" s="1">
        <v>31569</v>
      </c>
      <c r="D379" t="s">
        <v>45</v>
      </c>
      <c r="E379" t="s">
        <v>22</v>
      </c>
      <c r="F379">
        <v>0</v>
      </c>
      <c r="G379">
        <v>0</v>
      </c>
      <c r="H379" t="s">
        <v>71</v>
      </c>
      <c r="I379" t="b">
        <v>0</v>
      </c>
      <c r="J379">
        <f t="shared" si="10"/>
        <v>0</v>
      </c>
      <c r="K379" t="str">
        <f t="shared" si="11"/>
        <v>Draw</v>
      </c>
    </row>
    <row r="380" spans="1:11" x14ac:dyDescent="0.35">
      <c r="A380">
        <v>379</v>
      </c>
      <c r="B380">
        <v>1986</v>
      </c>
      <c r="C380" s="1">
        <v>31570</v>
      </c>
      <c r="D380" t="s">
        <v>45</v>
      </c>
      <c r="E380" t="s">
        <v>66</v>
      </c>
      <c r="F380">
        <v>1</v>
      </c>
      <c r="G380">
        <v>2</v>
      </c>
      <c r="H380" t="s">
        <v>27</v>
      </c>
      <c r="I380" t="b">
        <v>0</v>
      </c>
      <c r="J380">
        <f t="shared" si="10"/>
        <v>3</v>
      </c>
      <c r="K380" t="str">
        <f t="shared" si="11"/>
        <v>Away Win</v>
      </c>
    </row>
    <row r="381" spans="1:11" x14ac:dyDescent="0.35">
      <c r="A381">
        <v>380</v>
      </c>
      <c r="B381">
        <v>1986</v>
      </c>
      <c r="C381" s="1">
        <v>31570</v>
      </c>
      <c r="D381" t="s">
        <v>45</v>
      </c>
      <c r="E381" t="s">
        <v>24</v>
      </c>
      <c r="F381">
        <v>1</v>
      </c>
      <c r="G381">
        <v>1</v>
      </c>
      <c r="H381" t="s">
        <v>51</v>
      </c>
      <c r="I381" t="b">
        <v>1</v>
      </c>
      <c r="J381">
        <f t="shared" si="10"/>
        <v>2</v>
      </c>
      <c r="K381" t="str">
        <f t="shared" si="11"/>
        <v>Draw</v>
      </c>
    </row>
    <row r="382" spans="1:11" x14ac:dyDescent="0.35">
      <c r="A382">
        <v>381</v>
      </c>
      <c r="B382">
        <v>1986</v>
      </c>
      <c r="C382" s="1">
        <v>31570</v>
      </c>
      <c r="D382" t="s">
        <v>45</v>
      </c>
      <c r="E382" t="s">
        <v>26</v>
      </c>
      <c r="F382">
        <v>1</v>
      </c>
      <c r="G382">
        <v>0</v>
      </c>
      <c r="H382" t="s">
        <v>23</v>
      </c>
      <c r="I382" t="b">
        <v>0</v>
      </c>
      <c r="J382">
        <f t="shared" si="10"/>
        <v>1</v>
      </c>
      <c r="K382" t="str">
        <f t="shared" si="11"/>
        <v>Home Win</v>
      </c>
    </row>
    <row r="383" spans="1:11" x14ac:dyDescent="0.35">
      <c r="A383">
        <v>382</v>
      </c>
      <c r="B383">
        <v>1986</v>
      </c>
      <c r="C383" s="1">
        <v>31571</v>
      </c>
      <c r="D383" t="s">
        <v>45</v>
      </c>
      <c r="E383" t="s">
        <v>87</v>
      </c>
      <c r="F383">
        <v>1</v>
      </c>
      <c r="G383">
        <v>2</v>
      </c>
      <c r="H383" t="s">
        <v>33</v>
      </c>
      <c r="I383" t="b">
        <v>0</v>
      </c>
      <c r="J383">
        <f t="shared" si="10"/>
        <v>3</v>
      </c>
      <c r="K383" t="str">
        <f t="shared" si="11"/>
        <v>Away Win</v>
      </c>
    </row>
    <row r="384" spans="1:11" x14ac:dyDescent="0.35">
      <c r="A384">
        <v>383</v>
      </c>
      <c r="B384">
        <v>1986</v>
      </c>
      <c r="C384" s="1">
        <v>31571</v>
      </c>
      <c r="D384" t="s">
        <v>45</v>
      </c>
      <c r="E384" t="s">
        <v>13</v>
      </c>
      <c r="F384">
        <v>2</v>
      </c>
      <c r="G384">
        <v>1</v>
      </c>
      <c r="H384" t="s">
        <v>63</v>
      </c>
      <c r="I384" t="b">
        <v>0</v>
      </c>
      <c r="J384">
        <f t="shared" si="10"/>
        <v>3</v>
      </c>
      <c r="K384" t="str">
        <f t="shared" si="11"/>
        <v>Home Win</v>
      </c>
    </row>
    <row r="385" spans="1:11" x14ac:dyDescent="0.35">
      <c r="A385">
        <v>384</v>
      </c>
      <c r="B385">
        <v>1986</v>
      </c>
      <c r="C385" s="1">
        <v>31571</v>
      </c>
      <c r="D385" t="s">
        <v>45</v>
      </c>
      <c r="E385" t="s">
        <v>88</v>
      </c>
      <c r="F385">
        <v>6</v>
      </c>
      <c r="G385">
        <v>1</v>
      </c>
      <c r="H385" t="s">
        <v>8</v>
      </c>
      <c r="I385" t="b">
        <v>0</v>
      </c>
      <c r="J385">
        <f t="shared" si="10"/>
        <v>7</v>
      </c>
      <c r="K385" t="str">
        <f t="shared" si="11"/>
        <v>Home Win</v>
      </c>
    </row>
    <row r="386" spans="1:11" x14ac:dyDescent="0.35">
      <c r="A386">
        <v>385</v>
      </c>
      <c r="B386">
        <v>1986</v>
      </c>
      <c r="C386" s="1">
        <v>31572</v>
      </c>
      <c r="D386" t="s">
        <v>45</v>
      </c>
      <c r="E386" t="s">
        <v>15</v>
      </c>
      <c r="F386">
        <v>0</v>
      </c>
      <c r="G386">
        <v>3</v>
      </c>
      <c r="H386" t="s">
        <v>14</v>
      </c>
      <c r="I386" t="b">
        <v>0</v>
      </c>
      <c r="J386">
        <f t="shared" si="10"/>
        <v>3</v>
      </c>
      <c r="K386" t="str">
        <f t="shared" si="11"/>
        <v>Away Win</v>
      </c>
    </row>
    <row r="387" spans="1:11" x14ac:dyDescent="0.35">
      <c r="A387">
        <v>386</v>
      </c>
      <c r="B387">
        <v>1986</v>
      </c>
      <c r="C387" s="1">
        <v>31572</v>
      </c>
      <c r="D387" t="s">
        <v>45</v>
      </c>
      <c r="E387" t="s">
        <v>32</v>
      </c>
      <c r="F387">
        <v>2</v>
      </c>
      <c r="G387">
        <v>0</v>
      </c>
      <c r="H387" t="s">
        <v>86</v>
      </c>
      <c r="I387" t="b">
        <v>0</v>
      </c>
      <c r="J387">
        <f t="shared" ref="J387:J450" si="12">F:F+G:G</f>
        <v>2</v>
      </c>
      <c r="K387" t="str">
        <f t="shared" ref="K387:K450" si="13">IF(F387&gt;G387,"Home Win",IF(F387&lt;G387,"Away Win","Draw"))</f>
        <v>Home Win</v>
      </c>
    </row>
    <row r="388" spans="1:11" x14ac:dyDescent="0.35">
      <c r="A388">
        <v>387</v>
      </c>
      <c r="B388">
        <v>1986</v>
      </c>
      <c r="C388" s="1">
        <v>31573</v>
      </c>
      <c r="D388" t="s">
        <v>45</v>
      </c>
      <c r="E388" t="s">
        <v>64</v>
      </c>
      <c r="F388">
        <v>2</v>
      </c>
      <c r="G388">
        <v>3</v>
      </c>
      <c r="H388" t="s">
        <v>11</v>
      </c>
      <c r="I388" t="b">
        <v>0</v>
      </c>
      <c r="J388">
        <f t="shared" si="12"/>
        <v>5</v>
      </c>
      <c r="K388" t="str">
        <f t="shared" si="13"/>
        <v>Away Win</v>
      </c>
    </row>
    <row r="389" spans="1:11" x14ac:dyDescent="0.35">
      <c r="A389">
        <v>388</v>
      </c>
      <c r="B389">
        <v>1986</v>
      </c>
      <c r="C389" s="1">
        <v>31573</v>
      </c>
      <c r="D389" t="s">
        <v>45</v>
      </c>
      <c r="E389" t="s">
        <v>9</v>
      </c>
      <c r="F389">
        <v>2</v>
      </c>
      <c r="G389">
        <v>0</v>
      </c>
      <c r="H389" t="s">
        <v>68</v>
      </c>
      <c r="I389" t="b">
        <v>0</v>
      </c>
      <c r="J389">
        <f t="shared" si="12"/>
        <v>2</v>
      </c>
      <c r="K389" t="str">
        <f t="shared" si="13"/>
        <v>Home Win</v>
      </c>
    </row>
    <row r="390" spans="1:11" x14ac:dyDescent="0.35">
      <c r="A390">
        <v>389</v>
      </c>
      <c r="B390">
        <v>1986</v>
      </c>
      <c r="C390" s="1">
        <v>31574</v>
      </c>
      <c r="D390" t="s">
        <v>45</v>
      </c>
      <c r="E390" t="s">
        <v>51</v>
      </c>
      <c r="F390">
        <v>2</v>
      </c>
      <c r="G390">
        <v>2</v>
      </c>
      <c r="H390" t="s">
        <v>33</v>
      </c>
      <c r="I390" t="b">
        <v>0</v>
      </c>
      <c r="J390">
        <f t="shared" si="12"/>
        <v>4</v>
      </c>
      <c r="K390" t="str">
        <f t="shared" si="13"/>
        <v>Draw</v>
      </c>
    </row>
    <row r="391" spans="1:11" x14ac:dyDescent="0.35">
      <c r="A391">
        <v>390</v>
      </c>
      <c r="B391">
        <v>1986</v>
      </c>
      <c r="C391" s="1">
        <v>31574</v>
      </c>
      <c r="D391" t="s">
        <v>45</v>
      </c>
      <c r="E391" t="s">
        <v>24</v>
      </c>
      <c r="F391">
        <v>1</v>
      </c>
      <c r="G391">
        <v>0</v>
      </c>
      <c r="H391" t="s">
        <v>87</v>
      </c>
      <c r="I391" t="b">
        <v>1</v>
      </c>
      <c r="J391">
        <f t="shared" si="12"/>
        <v>1</v>
      </c>
      <c r="K391" t="str">
        <f t="shared" si="13"/>
        <v>Home Win</v>
      </c>
    </row>
    <row r="392" spans="1:11" x14ac:dyDescent="0.35">
      <c r="A392">
        <v>391</v>
      </c>
      <c r="B392">
        <v>1986</v>
      </c>
      <c r="C392" s="1">
        <v>31574</v>
      </c>
      <c r="D392" t="s">
        <v>45</v>
      </c>
      <c r="E392" t="s">
        <v>23</v>
      </c>
      <c r="F392">
        <v>1</v>
      </c>
      <c r="G392">
        <v>3</v>
      </c>
      <c r="H392" t="s">
        <v>71</v>
      </c>
      <c r="I392" t="b">
        <v>0</v>
      </c>
      <c r="J392">
        <f t="shared" si="12"/>
        <v>4</v>
      </c>
      <c r="K392" t="str">
        <f t="shared" si="13"/>
        <v>Away Win</v>
      </c>
    </row>
    <row r="393" spans="1:11" x14ac:dyDescent="0.35">
      <c r="A393">
        <v>392</v>
      </c>
      <c r="B393">
        <v>1986</v>
      </c>
      <c r="C393" s="1">
        <v>31574</v>
      </c>
      <c r="D393" t="s">
        <v>45</v>
      </c>
      <c r="E393" t="s">
        <v>22</v>
      </c>
      <c r="F393">
        <v>3</v>
      </c>
      <c r="G393">
        <v>0</v>
      </c>
      <c r="H393" t="s">
        <v>26</v>
      </c>
      <c r="I393" t="b">
        <v>0</v>
      </c>
      <c r="J393">
        <f t="shared" si="12"/>
        <v>3</v>
      </c>
      <c r="K393" t="str">
        <f t="shared" si="13"/>
        <v>Home Win</v>
      </c>
    </row>
    <row r="394" spans="1:11" x14ac:dyDescent="0.35">
      <c r="A394">
        <v>393</v>
      </c>
      <c r="B394">
        <v>1986</v>
      </c>
      <c r="C394" s="1">
        <v>31575</v>
      </c>
      <c r="D394" t="s">
        <v>45</v>
      </c>
      <c r="E394" t="s">
        <v>66</v>
      </c>
      <c r="F394">
        <v>0</v>
      </c>
      <c r="G394">
        <v>3</v>
      </c>
      <c r="H394" t="s">
        <v>16</v>
      </c>
      <c r="I394" t="b">
        <v>0</v>
      </c>
      <c r="J394">
        <f t="shared" si="12"/>
        <v>3</v>
      </c>
      <c r="K394" t="str">
        <f t="shared" si="13"/>
        <v>Away Win</v>
      </c>
    </row>
    <row r="395" spans="1:11" x14ac:dyDescent="0.35">
      <c r="A395">
        <v>394</v>
      </c>
      <c r="B395">
        <v>1986</v>
      </c>
      <c r="C395" s="1">
        <v>31575</v>
      </c>
      <c r="D395" t="s">
        <v>45</v>
      </c>
      <c r="E395" t="s">
        <v>83</v>
      </c>
      <c r="F395">
        <v>0</v>
      </c>
      <c r="G395">
        <v>3</v>
      </c>
      <c r="H395" t="s">
        <v>27</v>
      </c>
      <c r="I395" t="b">
        <v>0</v>
      </c>
      <c r="J395">
        <f t="shared" si="12"/>
        <v>3</v>
      </c>
      <c r="K395" t="str">
        <f t="shared" si="13"/>
        <v>Away Win</v>
      </c>
    </row>
    <row r="396" spans="1:11" x14ac:dyDescent="0.35">
      <c r="A396">
        <v>395</v>
      </c>
      <c r="B396">
        <v>1986</v>
      </c>
      <c r="C396" s="1">
        <v>31576</v>
      </c>
      <c r="D396" t="s">
        <v>45</v>
      </c>
      <c r="E396" t="s">
        <v>63</v>
      </c>
      <c r="F396">
        <v>0</v>
      </c>
      <c r="G396">
        <v>0</v>
      </c>
      <c r="H396" t="s">
        <v>8</v>
      </c>
      <c r="I396" t="b">
        <v>0</v>
      </c>
      <c r="J396">
        <f t="shared" si="12"/>
        <v>0</v>
      </c>
      <c r="K396" t="str">
        <f t="shared" si="13"/>
        <v>Draw</v>
      </c>
    </row>
    <row r="397" spans="1:11" x14ac:dyDescent="0.35">
      <c r="A397">
        <v>396</v>
      </c>
      <c r="B397">
        <v>1986</v>
      </c>
      <c r="C397" s="1">
        <v>31576</v>
      </c>
      <c r="D397" t="s">
        <v>45</v>
      </c>
      <c r="E397" t="s">
        <v>88</v>
      </c>
      <c r="F397">
        <v>2</v>
      </c>
      <c r="G397">
        <v>0</v>
      </c>
      <c r="H397" t="s">
        <v>13</v>
      </c>
      <c r="I397" t="b">
        <v>0</v>
      </c>
      <c r="J397">
        <f t="shared" si="12"/>
        <v>2</v>
      </c>
      <c r="K397" t="str">
        <f t="shared" si="13"/>
        <v>Home Win</v>
      </c>
    </row>
    <row r="398" spans="1:11" x14ac:dyDescent="0.35">
      <c r="A398">
        <v>397</v>
      </c>
      <c r="B398">
        <v>1986</v>
      </c>
      <c r="C398" s="1">
        <v>31578</v>
      </c>
      <c r="D398" t="s">
        <v>54</v>
      </c>
      <c r="E398" t="s">
        <v>24</v>
      </c>
      <c r="F398">
        <v>2</v>
      </c>
      <c r="G398">
        <v>0</v>
      </c>
      <c r="H398" t="s">
        <v>68</v>
      </c>
      <c r="I398" t="b">
        <v>1</v>
      </c>
      <c r="J398">
        <f t="shared" si="12"/>
        <v>2</v>
      </c>
      <c r="K398" t="str">
        <f t="shared" si="13"/>
        <v>Home Win</v>
      </c>
    </row>
    <row r="399" spans="1:11" x14ac:dyDescent="0.35">
      <c r="A399">
        <v>398</v>
      </c>
      <c r="B399">
        <v>1986</v>
      </c>
      <c r="C399" s="1">
        <v>31578</v>
      </c>
      <c r="D399" t="s">
        <v>54</v>
      </c>
      <c r="E399" t="s">
        <v>32</v>
      </c>
      <c r="F399">
        <v>3</v>
      </c>
      <c r="G399">
        <v>4</v>
      </c>
      <c r="H399" t="s">
        <v>33</v>
      </c>
      <c r="I399" t="b">
        <v>0</v>
      </c>
      <c r="J399">
        <f t="shared" si="12"/>
        <v>7</v>
      </c>
      <c r="K399" t="str">
        <f t="shared" si="13"/>
        <v>Away Win</v>
      </c>
    </row>
    <row r="400" spans="1:11" x14ac:dyDescent="0.35">
      <c r="A400">
        <v>399</v>
      </c>
      <c r="B400">
        <v>1986</v>
      </c>
      <c r="C400" s="1">
        <v>31579</v>
      </c>
      <c r="D400" t="s">
        <v>54</v>
      </c>
      <c r="E400" t="s">
        <v>16</v>
      </c>
      <c r="F400">
        <v>4</v>
      </c>
      <c r="G400">
        <v>0</v>
      </c>
      <c r="H400" t="s">
        <v>26</v>
      </c>
      <c r="I400" t="b">
        <v>0</v>
      </c>
      <c r="J400">
        <f t="shared" si="12"/>
        <v>4</v>
      </c>
      <c r="K400" t="str">
        <f t="shared" si="13"/>
        <v>Home Win</v>
      </c>
    </row>
    <row r="401" spans="1:11" x14ac:dyDescent="0.35">
      <c r="A401">
        <v>400</v>
      </c>
      <c r="B401">
        <v>1986</v>
      </c>
      <c r="C401" s="1">
        <v>31579</v>
      </c>
      <c r="D401" t="s">
        <v>54</v>
      </c>
      <c r="E401" t="s">
        <v>9</v>
      </c>
      <c r="F401">
        <v>1</v>
      </c>
      <c r="G401">
        <v>0</v>
      </c>
      <c r="H401" t="s">
        <v>8</v>
      </c>
      <c r="I401" t="b">
        <v>0</v>
      </c>
      <c r="J401">
        <f t="shared" si="12"/>
        <v>1</v>
      </c>
      <c r="K401" t="str">
        <f t="shared" si="13"/>
        <v>Home Win</v>
      </c>
    </row>
    <row r="402" spans="1:11" x14ac:dyDescent="0.35">
      <c r="A402">
        <v>401</v>
      </c>
      <c r="B402">
        <v>1986</v>
      </c>
      <c r="C402" s="1">
        <v>31580</v>
      </c>
      <c r="D402" t="s">
        <v>54</v>
      </c>
      <c r="E402" t="s">
        <v>11</v>
      </c>
      <c r="F402">
        <v>0</v>
      </c>
      <c r="G402">
        <v>2</v>
      </c>
      <c r="H402" t="s">
        <v>14</v>
      </c>
      <c r="I402" t="b">
        <v>0</v>
      </c>
      <c r="J402">
        <f t="shared" si="12"/>
        <v>2</v>
      </c>
      <c r="K402" t="str">
        <f t="shared" si="13"/>
        <v>Away Win</v>
      </c>
    </row>
    <row r="403" spans="1:11" x14ac:dyDescent="0.35">
      <c r="A403">
        <v>402</v>
      </c>
      <c r="B403">
        <v>1986</v>
      </c>
      <c r="C403" s="1">
        <v>31580</v>
      </c>
      <c r="D403" t="s">
        <v>54</v>
      </c>
      <c r="E403" t="s">
        <v>71</v>
      </c>
      <c r="F403">
        <v>0</v>
      </c>
      <c r="G403">
        <v>1</v>
      </c>
      <c r="H403" t="s">
        <v>13</v>
      </c>
      <c r="I403" t="b">
        <v>0</v>
      </c>
      <c r="J403">
        <f t="shared" si="12"/>
        <v>1</v>
      </c>
      <c r="K403" t="str">
        <f t="shared" si="13"/>
        <v>Away Win</v>
      </c>
    </row>
    <row r="404" spans="1:11" x14ac:dyDescent="0.35">
      <c r="A404">
        <v>403</v>
      </c>
      <c r="B404">
        <v>1986</v>
      </c>
      <c r="C404" s="1">
        <v>31581</v>
      </c>
      <c r="D404" t="s">
        <v>54</v>
      </c>
      <c r="E404" t="s">
        <v>22</v>
      </c>
      <c r="F404">
        <v>3</v>
      </c>
      <c r="G404">
        <v>0</v>
      </c>
      <c r="H404" t="s">
        <v>51</v>
      </c>
      <c r="I404" t="b">
        <v>0</v>
      </c>
      <c r="J404">
        <f t="shared" si="12"/>
        <v>3</v>
      </c>
      <c r="K404" t="str">
        <f t="shared" si="13"/>
        <v>Home Win</v>
      </c>
    </row>
    <row r="405" spans="1:11" x14ac:dyDescent="0.35">
      <c r="A405">
        <v>404</v>
      </c>
      <c r="B405">
        <v>1986</v>
      </c>
      <c r="C405" s="1">
        <v>31581</v>
      </c>
      <c r="D405" t="s">
        <v>54</v>
      </c>
      <c r="E405" t="s">
        <v>88</v>
      </c>
      <c r="F405">
        <v>1</v>
      </c>
      <c r="G405">
        <v>5</v>
      </c>
      <c r="H405" t="s">
        <v>27</v>
      </c>
      <c r="I405" t="b">
        <v>0</v>
      </c>
      <c r="J405">
        <f t="shared" si="12"/>
        <v>6</v>
      </c>
      <c r="K405" t="str">
        <f t="shared" si="13"/>
        <v>Away Win</v>
      </c>
    </row>
    <row r="406" spans="1:11" x14ac:dyDescent="0.35">
      <c r="A406">
        <v>405</v>
      </c>
      <c r="B406">
        <v>1986</v>
      </c>
      <c r="C406" s="1">
        <v>31584</v>
      </c>
      <c r="D406" t="s">
        <v>56</v>
      </c>
      <c r="E406" t="s">
        <v>16</v>
      </c>
      <c r="F406">
        <v>1</v>
      </c>
      <c r="G406">
        <v>1</v>
      </c>
      <c r="H406" t="s">
        <v>14</v>
      </c>
      <c r="I406" t="b">
        <v>0</v>
      </c>
      <c r="J406">
        <f t="shared" si="12"/>
        <v>2</v>
      </c>
      <c r="K406" t="str">
        <f t="shared" si="13"/>
        <v>Draw</v>
      </c>
    </row>
    <row r="407" spans="1:11" x14ac:dyDescent="0.35">
      <c r="A407">
        <v>406</v>
      </c>
      <c r="B407">
        <v>1986</v>
      </c>
      <c r="C407" s="1">
        <v>31584</v>
      </c>
      <c r="D407" t="s">
        <v>56</v>
      </c>
      <c r="E407" t="s">
        <v>24</v>
      </c>
      <c r="F407">
        <v>0</v>
      </c>
      <c r="G407">
        <v>0</v>
      </c>
      <c r="H407" t="s">
        <v>13</v>
      </c>
      <c r="I407" t="b">
        <v>1</v>
      </c>
      <c r="J407">
        <f t="shared" si="12"/>
        <v>0</v>
      </c>
      <c r="K407" t="str">
        <f t="shared" si="13"/>
        <v>Draw</v>
      </c>
    </row>
    <row r="408" spans="1:11" x14ac:dyDescent="0.35">
      <c r="A408">
        <v>407</v>
      </c>
      <c r="B408">
        <v>1986</v>
      </c>
      <c r="C408" s="1">
        <v>31585</v>
      </c>
      <c r="D408" t="s">
        <v>56</v>
      </c>
      <c r="E408" t="s">
        <v>9</v>
      </c>
      <c r="F408">
        <v>2</v>
      </c>
      <c r="G408">
        <v>1</v>
      </c>
      <c r="H408" t="s">
        <v>22</v>
      </c>
      <c r="I408" t="b">
        <v>0</v>
      </c>
      <c r="J408">
        <f t="shared" si="12"/>
        <v>3</v>
      </c>
      <c r="K408" t="str">
        <f t="shared" si="13"/>
        <v>Home Win</v>
      </c>
    </row>
    <row r="409" spans="1:11" x14ac:dyDescent="0.35">
      <c r="A409">
        <v>408</v>
      </c>
      <c r="B409">
        <v>1986</v>
      </c>
      <c r="C409" s="1">
        <v>31585</v>
      </c>
      <c r="D409" t="s">
        <v>56</v>
      </c>
      <c r="E409" t="s">
        <v>27</v>
      </c>
      <c r="F409">
        <v>1</v>
      </c>
      <c r="G409">
        <v>1</v>
      </c>
      <c r="H409" t="s">
        <v>33</v>
      </c>
      <c r="I409" t="b">
        <v>0</v>
      </c>
      <c r="J409">
        <f t="shared" si="12"/>
        <v>2</v>
      </c>
      <c r="K409" t="str">
        <f t="shared" si="13"/>
        <v>Draw</v>
      </c>
    </row>
    <row r="410" spans="1:11" x14ac:dyDescent="0.35">
      <c r="A410">
        <v>409</v>
      </c>
      <c r="B410">
        <v>1986</v>
      </c>
      <c r="C410" s="1">
        <v>31588</v>
      </c>
      <c r="D410" t="s">
        <v>52</v>
      </c>
      <c r="E410" t="s">
        <v>14</v>
      </c>
      <c r="F410">
        <v>0</v>
      </c>
      <c r="G410">
        <v>2</v>
      </c>
      <c r="H410" t="s">
        <v>13</v>
      </c>
      <c r="I410" t="b">
        <v>0</v>
      </c>
      <c r="J410">
        <f t="shared" si="12"/>
        <v>2</v>
      </c>
      <c r="K410" t="str">
        <f t="shared" si="13"/>
        <v>Away Win</v>
      </c>
    </row>
    <row r="411" spans="1:11" x14ac:dyDescent="0.35">
      <c r="A411">
        <v>410</v>
      </c>
      <c r="B411">
        <v>1986</v>
      </c>
      <c r="C411" s="1">
        <v>31588</v>
      </c>
      <c r="D411" t="s">
        <v>52</v>
      </c>
      <c r="E411" t="s">
        <v>9</v>
      </c>
      <c r="F411">
        <v>2</v>
      </c>
      <c r="G411">
        <v>0</v>
      </c>
      <c r="H411" t="s">
        <v>33</v>
      </c>
      <c r="I411" t="b">
        <v>0</v>
      </c>
      <c r="J411">
        <f t="shared" si="12"/>
        <v>2</v>
      </c>
      <c r="K411" t="str">
        <f t="shared" si="13"/>
        <v>Home Win</v>
      </c>
    </row>
    <row r="412" spans="1:11" x14ac:dyDescent="0.35">
      <c r="A412">
        <v>411</v>
      </c>
      <c r="B412">
        <v>1986</v>
      </c>
      <c r="C412" s="1">
        <v>31591</v>
      </c>
      <c r="D412" t="s">
        <v>57</v>
      </c>
      <c r="E412" t="s">
        <v>14</v>
      </c>
      <c r="F412">
        <v>4</v>
      </c>
      <c r="G412">
        <v>2</v>
      </c>
      <c r="H412" t="s">
        <v>33</v>
      </c>
      <c r="I412" t="b">
        <v>0</v>
      </c>
      <c r="J412">
        <f t="shared" si="12"/>
        <v>6</v>
      </c>
      <c r="K412" t="str">
        <f t="shared" si="13"/>
        <v>Home Win</v>
      </c>
    </row>
    <row r="413" spans="1:11" x14ac:dyDescent="0.35">
      <c r="A413">
        <v>412</v>
      </c>
      <c r="B413">
        <v>1986</v>
      </c>
      <c r="C413" s="1">
        <v>31592</v>
      </c>
      <c r="D413" t="s">
        <v>53</v>
      </c>
      <c r="E413" t="s">
        <v>9</v>
      </c>
      <c r="F413">
        <v>3</v>
      </c>
      <c r="G413">
        <v>2</v>
      </c>
      <c r="H413" t="s">
        <v>13</v>
      </c>
      <c r="I413" t="b">
        <v>0</v>
      </c>
      <c r="J413">
        <f t="shared" si="12"/>
        <v>5</v>
      </c>
      <c r="K413" t="str">
        <f t="shared" si="13"/>
        <v>Home Win</v>
      </c>
    </row>
    <row r="414" spans="1:11" x14ac:dyDescent="0.35">
      <c r="A414">
        <v>413</v>
      </c>
      <c r="B414">
        <v>1990</v>
      </c>
      <c r="C414" s="1">
        <v>33032</v>
      </c>
      <c r="D414" t="s">
        <v>45</v>
      </c>
      <c r="E414" t="s">
        <v>9</v>
      </c>
      <c r="F414">
        <v>0</v>
      </c>
      <c r="G414">
        <v>1</v>
      </c>
      <c r="H414" t="s">
        <v>81</v>
      </c>
      <c r="I414" t="b">
        <v>0</v>
      </c>
      <c r="J414">
        <f t="shared" si="12"/>
        <v>1</v>
      </c>
      <c r="K414" t="str">
        <f t="shared" si="13"/>
        <v>Away Win</v>
      </c>
    </row>
    <row r="415" spans="1:11" x14ac:dyDescent="0.35">
      <c r="A415">
        <v>414</v>
      </c>
      <c r="B415">
        <v>1990</v>
      </c>
      <c r="C415" s="1">
        <v>33033</v>
      </c>
      <c r="D415" t="s">
        <v>45</v>
      </c>
      <c r="E415" t="s">
        <v>32</v>
      </c>
      <c r="F415">
        <v>0</v>
      </c>
      <c r="G415">
        <v>2</v>
      </c>
      <c r="H415" t="s">
        <v>48</v>
      </c>
      <c r="I415" t="b">
        <v>0</v>
      </c>
      <c r="J415">
        <f t="shared" si="12"/>
        <v>2</v>
      </c>
      <c r="K415" t="str">
        <f t="shared" si="13"/>
        <v>Away Win</v>
      </c>
    </row>
    <row r="416" spans="1:11" x14ac:dyDescent="0.35">
      <c r="A416">
        <v>415</v>
      </c>
      <c r="B416">
        <v>1990</v>
      </c>
      <c r="C416" s="1">
        <v>33033</v>
      </c>
      <c r="D416" t="s">
        <v>45</v>
      </c>
      <c r="E416" t="s">
        <v>89</v>
      </c>
      <c r="F416">
        <v>0</v>
      </c>
      <c r="G416">
        <v>2</v>
      </c>
      <c r="H416" t="s">
        <v>67</v>
      </c>
      <c r="I416" t="b">
        <v>0</v>
      </c>
      <c r="J416">
        <f t="shared" si="12"/>
        <v>2</v>
      </c>
      <c r="K416" t="str">
        <f t="shared" si="13"/>
        <v>Away Win</v>
      </c>
    </row>
    <row r="417" spans="1:11" x14ac:dyDescent="0.35">
      <c r="A417">
        <v>416</v>
      </c>
      <c r="B417">
        <v>1990</v>
      </c>
      <c r="C417" s="1">
        <v>33033</v>
      </c>
      <c r="D417" t="s">
        <v>45</v>
      </c>
      <c r="E417" t="s">
        <v>11</v>
      </c>
      <c r="F417">
        <v>1</v>
      </c>
      <c r="G417">
        <v>0</v>
      </c>
      <c r="H417" t="s">
        <v>20</v>
      </c>
      <c r="I417" t="b">
        <v>1</v>
      </c>
      <c r="J417">
        <f t="shared" si="12"/>
        <v>1</v>
      </c>
      <c r="K417" t="str">
        <f t="shared" si="13"/>
        <v>Home Win</v>
      </c>
    </row>
    <row r="418" spans="1:11" x14ac:dyDescent="0.35">
      <c r="A418">
        <v>417</v>
      </c>
      <c r="B418">
        <v>1990</v>
      </c>
      <c r="C418" s="1">
        <v>33034</v>
      </c>
      <c r="D418" t="s">
        <v>45</v>
      </c>
      <c r="E418" t="s">
        <v>46</v>
      </c>
      <c r="F418">
        <v>1</v>
      </c>
      <c r="G418">
        <v>5</v>
      </c>
      <c r="H418" t="s">
        <v>12</v>
      </c>
      <c r="I418" t="b">
        <v>0</v>
      </c>
      <c r="J418">
        <f t="shared" si="12"/>
        <v>6</v>
      </c>
      <c r="K418" t="str">
        <f t="shared" si="13"/>
        <v>Away Win</v>
      </c>
    </row>
    <row r="419" spans="1:11" x14ac:dyDescent="0.35">
      <c r="A419">
        <v>418</v>
      </c>
      <c r="B419">
        <v>1990</v>
      </c>
      <c r="C419" s="1">
        <v>33034</v>
      </c>
      <c r="D419" t="s">
        <v>45</v>
      </c>
      <c r="E419" t="s">
        <v>16</v>
      </c>
      <c r="F419">
        <v>2</v>
      </c>
      <c r="G419">
        <v>1</v>
      </c>
      <c r="H419" t="s">
        <v>17</v>
      </c>
      <c r="I419" t="b">
        <v>0</v>
      </c>
      <c r="J419">
        <f t="shared" si="12"/>
        <v>3</v>
      </c>
      <c r="K419" t="str">
        <f t="shared" si="13"/>
        <v>Home Win</v>
      </c>
    </row>
    <row r="420" spans="1:11" x14ac:dyDescent="0.35">
      <c r="A420">
        <v>419</v>
      </c>
      <c r="B420">
        <v>1990</v>
      </c>
      <c r="C420" s="1">
        <v>33034</v>
      </c>
      <c r="D420" t="s">
        <v>45</v>
      </c>
      <c r="E420" t="s">
        <v>13</v>
      </c>
      <c r="F420">
        <v>4</v>
      </c>
      <c r="G420">
        <v>1</v>
      </c>
      <c r="H420" t="s">
        <v>47</v>
      </c>
      <c r="I420" t="b">
        <v>0</v>
      </c>
      <c r="J420">
        <f t="shared" si="12"/>
        <v>5</v>
      </c>
      <c r="K420" t="str">
        <f t="shared" si="13"/>
        <v>Home Win</v>
      </c>
    </row>
    <row r="421" spans="1:11" x14ac:dyDescent="0.35">
      <c r="A421">
        <v>420</v>
      </c>
      <c r="B421">
        <v>1990</v>
      </c>
      <c r="C421" s="1">
        <v>33035</v>
      </c>
      <c r="D421" t="s">
        <v>45</v>
      </c>
      <c r="E421" t="s">
        <v>90</v>
      </c>
      <c r="F421">
        <v>1</v>
      </c>
      <c r="G421">
        <v>0</v>
      </c>
      <c r="H421" t="s">
        <v>63</v>
      </c>
      <c r="I421" t="b">
        <v>0</v>
      </c>
      <c r="J421">
        <f t="shared" si="12"/>
        <v>1</v>
      </c>
      <c r="K421" t="str">
        <f t="shared" si="13"/>
        <v>Home Win</v>
      </c>
    </row>
    <row r="422" spans="1:11" x14ac:dyDescent="0.35">
      <c r="A422">
        <v>421</v>
      </c>
      <c r="B422">
        <v>1990</v>
      </c>
      <c r="C422" s="1">
        <v>33035</v>
      </c>
      <c r="D422" t="s">
        <v>45</v>
      </c>
      <c r="E422" t="s">
        <v>22</v>
      </c>
      <c r="F422">
        <v>1</v>
      </c>
      <c r="G422">
        <v>1</v>
      </c>
      <c r="H422" t="s">
        <v>91</v>
      </c>
      <c r="I422" t="b">
        <v>0</v>
      </c>
      <c r="J422">
        <f t="shared" si="12"/>
        <v>2</v>
      </c>
      <c r="K422" t="str">
        <f t="shared" si="13"/>
        <v>Draw</v>
      </c>
    </row>
    <row r="423" spans="1:11" x14ac:dyDescent="0.35">
      <c r="A423">
        <v>422</v>
      </c>
      <c r="B423">
        <v>1990</v>
      </c>
      <c r="C423" s="1">
        <v>33036</v>
      </c>
      <c r="D423" t="s">
        <v>45</v>
      </c>
      <c r="E423" t="s">
        <v>33</v>
      </c>
      <c r="F423">
        <v>2</v>
      </c>
      <c r="G423">
        <v>0</v>
      </c>
      <c r="H423" t="s">
        <v>64</v>
      </c>
      <c r="I423" t="b">
        <v>0</v>
      </c>
      <c r="J423">
        <f t="shared" si="12"/>
        <v>2</v>
      </c>
      <c r="K423" t="str">
        <f t="shared" si="13"/>
        <v>Home Win</v>
      </c>
    </row>
    <row r="424" spans="1:11" x14ac:dyDescent="0.35">
      <c r="A424">
        <v>423</v>
      </c>
      <c r="B424">
        <v>1990</v>
      </c>
      <c r="C424" s="1">
        <v>33036</v>
      </c>
      <c r="D424" t="s">
        <v>45</v>
      </c>
      <c r="E424" t="s">
        <v>25</v>
      </c>
      <c r="F424">
        <v>1</v>
      </c>
      <c r="G424">
        <v>1</v>
      </c>
      <c r="H424" t="s">
        <v>55</v>
      </c>
      <c r="I424" t="b">
        <v>0</v>
      </c>
      <c r="J424">
        <f t="shared" si="12"/>
        <v>2</v>
      </c>
      <c r="K424" t="str">
        <f t="shared" si="13"/>
        <v>Draw</v>
      </c>
    </row>
    <row r="425" spans="1:11" x14ac:dyDescent="0.35">
      <c r="A425">
        <v>424</v>
      </c>
      <c r="B425">
        <v>1990</v>
      </c>
      <c r="C425" s="1">
        <v>33037</v>
      </c>
      <c r="D425" t="s">
        <v>45</v>
      </c>
      <c r="E425" t="s">
        <v>8</v>
      </c>
      <c r="F425">
        <v>0</v>
      </c>
      <c r="G425">
        <v>0</v>
      </c>
      <c r="H425" t="s">
        <v>27</v>
      </c>
      <c r="I425" t="b">
        <v>0</v>
      </c>
      <c r="J425">
        <f t="shared" si="12"/>
        <v>0</v>
      </c>
      <c r="K425" t="str">
        <f t="shared" si="13"/>
        <v>Draw</v>
      </c>
    </row>
    <row r="426" spans="1:11" x14ac:dyDescent="0.35">
      <c r="A426">
        <v>425</v>
      </c>
      <c r="B426">
        <v>1990</v>
      </c>
      <c r="C426" s="1">
        <v>33037</v>
      </c>
      <c r="D426" t="s">
        <v>45</v>
      </c>
      <c r="E426" t="s">
        <v>9</v>
      </c>
      <c r="F426">
        <v>2</v>
      </c>
      <c r="G426">
        <v>0</v>
      </c>
      <c r="H426" t="s">
        <v>32</v>
      </c>
      <c r="I426" t="b">
        <v>0</v>
      </c>
      <c r="J426">
        <f t="shared" si="12"/>
        <v>2</v>
      </c>
      <c r="K426" t="str">
        <f t="shared" si="13"/>
        <v>Home Win</v>
      </c>
    </row>
    <row r="427" spans="1:11" x14ac:dyDescent="0.35">
      <c r="A427">
        <v>426</v>
      </c>
      <c r="B427">
        <v>1990</v>
      </c>
      <c r="C427" s="1">
        <v>33038</v>
      </c>
      <c r="D427" t="s">
        <v>45</v>
      </c>
      <c r="E427" t="s">
        <v>81</v>
      </c>
      <c r="F427">
        <v>2</v>
      </c>
      <c r="G427">
        <v>1</v>
      </c>
      <c r="H427" t="s">
        <v>48</v>
      </c>
      <c r="I427" t="b">
        <v>0</v>
      </c>
      <c r="J427">
        <f t="shared" si="12"/>
        <v>3</v>
      </c>
      <c r="K427" t="str">
        <f t="shared" si="13"/>
        <v>Home Win</v>
      </c>
    </row>
    <row r="428" spans="1:11" x14ac:dyDescent="0.35">
      <c r="A428">
        <v>427</v>
      </c>
      <c r="B428">
        <v>1990</v>
      </c>
      <c r="C428" s="1">
        <v>33038</v>
      </c>
      <c r="D428" t="s">
        <v>45</v>
      </c>
      <c r="E428" t="s">
        <v>47</v>
      </c>
      <c r="F428">
        <v>1</v>
      </c>
      <c r="G428">
        <v>0</v>
      </c>
      <c r="H428" t="s">
        <v>67</v>
      </c>
      <c r="I428" t="b">
        <v>0</v>
      </c>
      <c r="J428">
        <f t="shared" si="12"/>
        <v>1</v>
      </c>
      <c r="K428" t="str">
        <f t="shared" si="13"/>
        <v>Home Win</v>
      </c>
    </row>
    <row r="429" spans="1:11" x14ac:dyDescent="0.35">
      <c r="A429">
        <v>428</v>
      </c>
      <c r="B429">
        <v>1990</v>
      </c>
      <c r="C429" s="1">
        <v>33038</v>
      </c>
      <c r="D429" t="s">
        <v>45</v>
      </c>
      <c r="E429" t="s">
        <v>11</v>
      </c>
      <c r="F429">
        <v>1</v>
      </c>
      <c r="G429">
        <v>0</v>
      </c>
      <c r="H429" t="s">
        <v>46</v>
      </c>
      <c r="I429" t="b">
        <v>1</v>
      </c>
      <c r="J429">
        <f t="shared" si="12"/>
        <v>1</v>
      </c>
      <c r="K429" t="str">
        <f t="shared" si="13"/>
        <v>Home Win</v>
      </c>
    </row>
    <row r="430" spans="1:11" x14ac:dyDescent="0.35">
      <c r="A430">
        <v>429</v>
      </c>
      <c r="B430">
        <v>1990</v>
      </c>
      <c r="C430" s="1">
        <v>33039</v>
      </c>
      <c r="D430" t="s">
        <v>45</v>
      </c>
      <c r="E430" t="s">
        <v>20</v>
      </c>
      <c r="F430">
        <v>0</v>
      </c>
      <c r="G430">
        <v>1</v>
      </c>
      <c r="H430" t="s">
        <v>12</v>
      </c>
      <c r="I430" t="b">
        <v>0</v>
      </c>
      <c r="J430">
        <f t="shared" si="12"/>
        <v>1</v>
      </c>
      <c r="K430" t="str">
        <f t="shared" si="13"/>
        <v>Away Win</v>
      </c>
    </row>
    <row r="431" spans="1:11" x14ac:dyDescent="0.35">
      <c r="A431">
        <v>430</v>
      </c>
      <c r="B431">
        <v>1990</v>
      </c>
      <c r="C431" s="1">
        <v>33039</v>
      </c>
      <c r="D431" t="s">
        <v>45</v>
      </c>
      <c r="E431" t="s">
        <v>13</v>
      </c>
      <c r="F431">
        <v>5</v>
      </c>
      <c r="G431">
        <v>1</v>
      </c>
      <c r="H431" t="s">
        <v>89</v>
      </c>
      <c r="I431" t="b">
        <v>0</v>
      </c>
      <c r="J431">
        <f t="shared" si="12"/>
        <v>6</v>
      </c>
      <c r="K431" t="str">
        <f t="shared" si="13"/>
        <v>Home Win</v>
      </c>
    </row>
    <row r="432" spans="1:11" x14ac:dyDescent="0.35">
      <c r="A432">
        <v>431</v>
      </c>
      <c r="B432">
        <v>1990</v>
      </c>
      <c r="C432" s="1">
        <v>33040</v>
      </c>
      <c r="D432" t="s">
        <v>45</v>
      </c>
      <c r="E432" t="s">
        <v>16</v>
      </c>
      <c r="F432">
        <v>1</v>
      </c>
      <c r="G432">
        <v>0</v>
      </c>
      <c r="H432" t="s">
        <v>90</v>
      </c>
      <c r="I432" t="b">
        <v>0</v>
      </c>
      <c r="J432">
        <f t="shared" si="12"/>
        <v>1</v>
      </c>
      <c r="K432" t="str">
        <f t="shared" si="13"/>
        <v>Home Win</v>
      </c>
    </row>
    <row r="433" spans="1:11" x14ac:dyDescent="0.35">
      <c r="A433">
        <v>432</v>
      </c>
      <c r="B433">
        <v>1990</v>
      </c>
      <c r="C433" s="1">
        <v>33040</v>
      </c>
      <c r="D433" t="s">
        <v>45</v>
      </c>
      <c r="E433" t="s">
        <v>17</v>
      </c>
      <c r="F433">
        <v>1</v>
      </c>
      <c r="G433">
        <v>2</v>
      </c>
      <c r="H433" t="s">
        <v>63</v>
      </c>
      <c r="I433" t="b">
        <v>0</v>
      </c>
      <c r="J433">
        <f t="shared" si="12"/>
        <v>3</v>
      </c>
      <c r="K433" t="str">
        <f t="shared" si="13"/>
        <v>Away Win</v>
      </c>
    </row>
    <row r="434" spans="1:11" x14ac:dyDescent="0.35">
      <c r="A434">
        <v>433</v>
      </c>
      <c r="B434">
        <v>1990</v>
      </c>
      <c r="C434" s="1">
        <v>33040</v>
      </c>
      <c r="D434" t="s">
        <v>45</v>
      </c>
      <c r="E434" t="s">
        <v>22</v>
      </c>
      <c r="F434">
        <v>0</v>
      </c>
      <c r="G434">
        <v>0</v>
      </c>
      <c r="H434" t="s">
        <v>25</v>
      </c>
      <c r="I434" t="b">
        <v>0</v>
      </c>
      <c r="J434">
        <f t="shared" si="12"/>
        <v>0</v>
      </c>
      <c r="K434" t="str">
        <f t="shared" si="13"/>
        <v>Draw</v>
      </c>
    </row>
    <row r="435" spans="1:11" x14ac:dyDescent="0.35">
      <c r="A435">
        <v>434</v>
      </c>
      <c r="B435">
        <v>1990</v>
      </c>
      <c r="C435" s="1">
        <v>33041</v>
      </c>
      <c r="D435" t="s">
        <v>45</v>
      </c>
      <c r="E435" t="s">
        <v>91</v>
      </c>
      <c r="F435">
        <v>0</v>
      </c>
      <c r="G435">
        <v>0</v>
      </c>
      <c r="H435" t="s">
        <v>55</v>
      </c>
      <c r="I435" t="b">
        <v>0</v>
      </c>
      <c r="J435">
        <f t="shared" si="12"/>
        <v>0</v>
      </c>
      <c r="K435" t="str">
        <f t="shared" si="13"/>
        <v>Draw</v>
      </c>
    </row>
    <row r="436" spans="1:11" x14ac:dyDescent="0.35">
      <c r="A436">
        <v>435</v>
      </c>
      <c r="B436">
        <v>1990</v>
      </c>
      <c r="C436" s="1">
        <v>33041</v>
      </c>
      <c r="D436" t="s">
        <v>45</v>
      </c>
      <c r="E436" t="s">
        <v>64</v>
      </c>
      <c r="F436">
        <v>1</v>
      </c>
      <c r="G436">
        <v>3</v>
      </c>
      <c r="H436" t="s">
        <v>27</v>
      </c>
      <c r="I436" t="b">
        <v>0</v>
      </c>
      <c r="J436">
        <f t="shared" si="12"/>
        <v>4</v>
      </c>
      <c r="K436" t="str">
        <f t="shared" si="13"/>
        <v>Away Win</v>
      </c>
    </row>
    <row r="437" spans="1:11" x14ac:dyDescent="0.35">
      <c r="A437">
        <v>436</v>
      </c>
      <c r="B437">
        <v>1990</v>
      </c>
      <c r="C437" s="1">
        <v>33041</v>
      </c>
      <c r="D437" t="s">
        <v>45</v>
      </c>
      <c r="E437" t="s">
        <v>33</v>
      </c>
      <c r="F437">
        <v>3</v>
      </c>
      <c r="G437">
        <v>1</v>
      </c>
      <c r="H437" t="s">
        <v>8</v>
      </c>
      <c r="I437" t="b">
        <v>0</v>
      </c>
      <c r="J437">
        <f t="shared" si="12"/>
        <v>4</v>
      </c>
      <c r="K437" t="str">
        <f t="shared" si="13"/>
        <v>Home Win</v>
      </c>
    </row>
    <row r="438" spans="1:11" x14ac:dyDescent="0.35">
      <c r="A438">
        <v>437</v>
      </c>
      <c r="B438">
        <v>1990</v>
      </c>
      <c r="C438" s="1">
        <v>33042</v>
      </c>
      <c r="D438" t="s">
        <v>45</v>
      </c>
      <c r="E438" t="s">
        <v>9</v>
      </c>
      <c r="F438">
        <v>1</v>
      </c>
      <c r="G438">
        <v>1</v>
      </c>
      <c r="H438" t="s">
        <v>48</v>
      </c>
      <c r="I438" t="b">
        <v>0</v>
      </c>
      <c r="J438">
        <f t="shared" si="12"/>
        <v>2</v>
      </c>
      <c r="K438" t="str">
        <f t="shared" si="13"/>
        <v>Draw</v>
      </c>
    </row>
    <row r="439" spans="1:11" x14ac:dyDescent="0.35">
      <c r="A439">
        <v>438</v>
      </c>
      <c r="B439">
        <v>1990</v>
      </c>
      <c r="C439" s="1">
        <v>33042</v>
      </c>
      <c r="D439" t="s">
        <v>45</v>
      </c>
      <c r="E439" t="s">
        <v>81</v>
      </c>
      <c r="F439">
        <v>0</v>
      </c>
      <c r="G439">
        <v>4</v>
      </c>
      <c r="H439" t="s">
        <v>32</v>
      </c>
      <c r="I439" t="b">
        <v>0</v>
      </c>
      <c r="J439">
        <f t="shared" si="12"/>
        <v>4</v>
      </c>
      <c r="K439" t="str">
        <f t="shared" si="13"/>
        <v>Away Win</v>
      </c>
    </row>
    <row r="440" spans="1:11" x14ac:dyDescent="0.35">
      <c r="A440">
        <v>439</v>
      </c>
      <c r="B440">
        <v>1990</v>
      </c>
      <c r="C440" s="1">
        <v>33043</v>
      </c>
      <c r="D440" t="s">
        <v>45</v>
      </c>
      <c r="E440" t="s">
        <v>13</v>
      </c>
      <c r="F440">
        <v>1</v>
      </c>
      <c r="G440">
        <v>1</v>
      </c>
      <c r="H440" t="s">
        <v>67</v>
      </c>
      <c r="I440" t="b">
        <v>0</v>
      </c>
      <c r="J440">
        <f t="shared" si="12"/>
        <v>2</v>
      </c>
      <c r="K440" t="str">
        <f t="shared" si="13"/>
        <v>Draw</v>
      </c>
    </row>
    <row r="441" spans="1:11" x14ac:dyDescent="0.35">
      <c r="A441">
        <v>440</v>
      </c>
      <c r="B441">
        <v>1990</v>
      </c>
      <c r="C441" s="1">
        <v>33043</v>
      </c>
      <c r="D441" t="s">
        <v>45</v>
      </c>
      <c r="E441" t="s">
        <v>47</v>
      </c>
      <c r="F441">
        <v>4</v>
      </c>
      <c r="G441">
        <v>1</v>
      </c>
      <c r="H441" t="s">
        <v>89</v>
      </c>
      <c r="I441" t="b">
        <v>0</v>
      </c>
      <c r="J441">
        <f t="shared" si="12"/>
        <v>5</v>
      </c>
      <c r="K441" t="str">
        <f t="shared" si="13"/>
        <v>Home Win</v>
      </c>
    </row>
    <row r="442" spans="1:11" x14ac:dyDescent="0.35">
      <c r="A442">
        <v>441</v>
      </c>
      <c r="B442">
        <v>1990</v>
      </c>
      <c r="C442" s="1">
        <v>33043</v>
      </c>
      <c r="D442" t="s">
        <v>45</v>
      </c>
      <c r="E442" t="s">
        <v>11</v>
      </c>
      <c r="F442">
        <v>2</v>
      </c>
      <c r="G442">
        <v>0</v>
      </c>
      <c r="H442" t="s">
        <v>12</v>
      </c>
      <c r="I442" t="b">
        <v>1</v>
      </c>
      <c r="J442">
        <f t="shared" si="12"/>
        <v>2</v>
      </c>
      <c r="K442" t="str">
        <f t="shared" si="13"/>
        <v>Home Win</v>
      </c>
    </row>
    <row r="443" spans="1:11" x14ac:dyDescent="0.35">
      <c r="A443">
        <v>442</v>
      </c>
      <c r="B443">
        <v>1990</v>
      </c>
      <c r="C443" s="1">
        <v>33043</v>
      </c>
      <c r="D443" t="s">
        <v>45</v>
      </c>
      <c r="E443" t="s">
        <v>20</v>
      </c>
      <c r="F443">
        <v>2</v>
      </c>
      <c r="G443">
        <v>1</v>
      </c>
      <c r="H443" t="s">
        <v>46</v>
      </c>
      <c r="I443" t="b">
        <v>0</v>
      </c>
      <c r="J443">
        <f t="shared" si="12"/>
        <v>3</v>
      </c>
      <c r="K443" t="str">
        <f t="shared" si="13"/>
        <v>Home Win</v>
      </c>
    </row>
    <row r="444" spans="1:11" x14ac:dyDescent="0.35">
      <c r="A444">
        <v>443</v>
      </c>
      <c r="B444">
        <v>1990</v>
      </c>
      <c r="C444" s="1">
        <v>33044</v>
      </c>
      <c r="D444" t="s">
        <v>45</v>
      </c>
      <c r="E444" t="s">
        <v>16</v>
      </c>
      <c r="F444">
        <v>1</v>
      </c>
      <c r="G444">
        <v>0</v>
      </c>
      <c r="H444" t="s">
        <v>63</v>
      </c>
      <c r="I444" t="b">
        <v>0</v>
      </c>
      <c r="J444">
        <f t="shared" si="12"/>
        <v>1</v>
      </c>
      <c r="K444" t="str">
        <f t="shared" si="13"/>
        <v>Home Win</v>
      </c>
    </row>
    <row r="445" spans="1:11" x14ac:dyDescent="0.35">
      <c r="A445">
        <v>444</v>
      </c>
      <c r="B445">
        <v>1990</v>
      </c>
      <c r="C445" s="1">
        <v>33044</v>
      </c>
      <c r="D445" t="s">
        <v>45</v>
      </c>
      <c r="E445" t="s">
        <v>17</v>
      </c>
      <c r="F445">
        <v>1</v>
      </c>
      <c r="G445">
        <v>2</v>
      </c>
      <c r="H445" t="s">
        <v>90</v>
      </c>
      <c r="I445" t="b">
        <v>0</v>
      </c>
      <c r="J445">
        <f t="shared" si="12"/>
        <v>3</v>
      </c>
      <c r="K445" t="str">
        <f t="shared" si="13"/>
        <v>Away Win</v>
      </c>
    </row>
    <row r="446" spans="1:11" x14ac:dyDescent="0.35">
      <c r="A446">
        <v>445</v>
      </c>
      <c r="B446">
        <v>1990</v>
      </c>
      <c r="C446" s="1">
        <v>33045</v>
      </c>
      <c r="D446" t="s">
        <v>45</v>
      </c>
      <c r="E446" t="s">
        <v>64</v>
      </c>
      <c r="F446">
        <v>0</v>
      </c>
      <c r="G446">
        <v>1</v>
      </c>
      <c r="H446" t="s">
        <v>8</v>
      </c>
      <c r="I446" t="b">
        <v>0</v>
      </c>
      <c r="J446">
        <f t="shared" si="12"/>
        <v>1</v>
      </c>
      <c r="K446" t="str">
        <f t="shared" si="13"/>
        <v>Away Win</v>
      </c>
    </row>
    <row r="447" spans="1:11" x14ac:dyDescent="0.35">
      <c r="A447">
        <v>446</v>
      </c>
      <c r="B447">
        <v>1990</v>
      </c>
      <c r="C447" s="1">
        <v>33045</v>
      </c>
      <c r="D447" t="s">
        <v>45</v>
      </c>
      <c r="E447" t="s">
        <v>33</v>
      </c>
      <c r="F447">
        <v>1</v>
      </c>
      <c r="G447">
        <v>2</v>
      </c>
      <c r="H447" t="s">
        <v>27</v>
      </c>
      <c r="I447" t="b">
        <v>0</v>
      </c>
      <c r="J447">
        <f t="shared" si="12"/>
        <v>3</v>
      </c>
      <c r="K447" t="str">
        <f t="shared" si="13"/>
        <v>Away Win</v>
      </c>
    </row>
    <row r="448" spans="1:11" x14ac:dyDescent="0.35">
      <c r="A448">
        <v>447</v>
      </c>
      <c r="B448">
        <v>1990</v>
      </c>
      <c r="C448" s="1">
        <v>33045</v>
      </c>
      <c r="D448" t="s">
        <v>45</v>
      </c>
      <c r="E448" t="s">
        <v>91</v>
      </c>
      <c r="F448">
        <v>1</v>
      </c>
      <c r="G448">
        <v>1</v>
      </c>
      <c r="H448" t="s">
        <v>25</v>
      </c>
      <c r="I448" t="b">
        <v>0</v>
      </c>
      <c r="J448">
        <f t="shared" si="12"/>
        <v>2</v>
      </c>
      <c r="K448" t="str">
        <f t="shared" si="13"/>
        <v>Draw</v>
      </c>
    </row>
    <row r="449" spans="1:11" x14ac:dyDescent="0.35">
      <c r="A449">
        <v>448</v>
      </c>
      <c r="B449">
        <v>1990</v>
      </c>
      <c r="C449" s="1">
        <v>33045</v>
      </c>
      <c r="D449" t="s">
        <v>45</v>
      </c>
      <c r="E449" t="s">
        <v>22</v>
      </c>
      <c r="F449">
        <v>1</v>
      </c>
      <c r="G449">
        <v>0</v>
      </c>
      <c r="H449" t="s">
        <v>55</v>
      </c>
      <c r="I449" t="b">
        <v>0</v>
      </c>
      <c r="J449">
        <f t="shared" si="12"/>
        <v>1</v>
      </c>
      <c r="K449" t="str">
        <f t="shared" si="13"/>
        <v>Home Win</v>
      </c>
    </row>
    <row r="450" spans="1:11" x14ac:dyDescent="0.35">
      <c r="A450">
        <v>449</v>
      </c>
      <c r="B450">
        <v>1990</v>
      </c>
      <c r="C450" s="1">
        <v>33047</v>
      </c>
      <c r="D450" t="s">
        <v>54</v>
      </c>
      <c r="E450" t="s">
        <v>81</v>
      </c>
      <c r="F450">
        <v>2</v>
      </c>
      <c r="G450">
        <v>1</v>
      </c>
      <c r="H450" t="s">
        <v>67</v>
      </c>
      <c r="I450" t="b">
        <v>0</v>
      </c>
      <c r="J450">
        <f t="shared" si="12"/>
        <v>3</v>
      </c>
      <c r="K450" t="str">
        <f t="shared" si="13"/>
        <v>Home Win</v>
      </c>
    </row>
    <row r="451" spans="1:11" x14ac:dyDescent="0.35">
      <c r="A451">
        <v>450</v>
      </c>
      <c r="B451">
        <v>1990</v>
      </c>
      <c r="C451" s="1">
        <v>33047</v>
      </c>
      <c r="D451" t="s">
        <v>54</v>
      </c>
      <c r="E451" t="s">
        <v>12</v>
      </c>
      <c r="F451">
        <v>4</v>
      </c>
      <c r="G451">
        <v>1</v>
      </c>
      <c r="H451" t="s">
        <v>90</v>
      </c>
      <c r="I451" t="b">
        <v>0</v>
      </c>
      <c r="J451">
        <f t="shared" ref="J451:J514" si="14">F:F+G:G</f>
        <v>5</v>
      </c>
      <c r="K451" t="str">
        <f t="shared" ref="K451:K514" si="15">IF(F451&gt;G451,"Home Win",IF(F451&lt;G451,"Away Win","Draw"))</f>
        <v>Home Win</v>
      </c>
    </row>
    <row r="452" spans="1:11" x14ac:dyDescent="0.35">
      <c r="A452">
        <v>451</v>
      </c>
      <c r="B452">
        <v>1990</v>
      </c>
      <c r="C452" s="1">
        <v>33048</v>
      </c>
      <c r="D452" t="s">
        <v>54</v>
      </c>
      <c r="E452" t="s">
        <v>16</v>
      </c>
      <c r="F452">
        <v>0</v>
      </c>
      <c r="G452">
        <v>1</v>
      </c>
      <c r="H452" t="s">
        <v>9</v>
      </c>
      <c r="I452" t="b">
        <v>0</v>
      </c>
      <c r="J452">
        <f t="shared" si="14"/>
        <v>1</v>
      </c>
      <c r="K452" t="str">
        <f t="shared" si="15"/>
        <v>Away Win</v>
      </c>
    </row>
    <row r="453" spans="1:11" x14ac:dyDescent="0.35">
      <c r="A453">
        <v>452</v>
      </c>
      <c r="B453">
        <v>1990</v>
      </c>
      <c r="C453" s="1">
        <v>33048</v>
      </c>
      <c r="D453" t="s">
        <v>54</v>
      </c>
      <c r="E453" t="s">
        <v>13</v>
      </c>
      <c r="F453">
        <v>2</v>
      </c>
      <c r="G453">
        <v>1</v>
      </c>
      <c r="H453" t="s">
        <v>25</v>
      </c>
      <c r="I453" t="b">
        <v>0</v>
      </c>
      <c r="J453">
        <f t="shared" si="14"/>
        <v>3</v>
      </c>
      <c r="K453" t="str">
        <f t="shared" si="15"/>
        <v>Home Win</v>
      </c>
    </row>
    <row r="454" spans="1:11" x14ac:dyDescent="0.35">
      <c r="A454">
        <v>453</v>
      </c>
      <c r="B454">
        <v>1990</v>
      </c>
      <c r="C454" s="1">
        <v>33049</v>
      </c>
      <c r="D454" t="s">
        <v>54</v>
      </c>
      <c r="E454" t="s">
        <v>91</v>
      </c>
      <c r="F454">
        <v>0</v>
      </c>
      <c r="G454">
        <v>0</v>
      </c>
      <c r="H454" t="s">
        <v>48</v>
      </c>
      <c r="I454" t="b">
        <v>0</v>
      </c>
      <c r="J454">
        <f t="shared" si="14"/>
        <v>0</v>
      </c>
      <c r="K454" t="str">
        <f t="shared" si="15"/>
        <v>Draw</v>
      </c>
    </row>
    <row r="455" spans="1:11" x14ac:dyDescent="0.35">
      <c r="A455">
        <v>454</v>
      </c>
      <c r="B455">
        <v>1990</v>
      </c>
      <c r="C455" s="1">
        <v>33049</v>
      </c>
      <c r="D455" t="s">
        <v>54</v>
      </c>
      <c r="E455" t="s">
        <v>11</v>
      </c>
      <c r="F455">
        <v>2</v>
      </c>
      <c r="G455">
        <v>0</v>
      </c>
      <c r="H455" t="s">
        <v>8</v>
      </c>
      <c r="I455" t="b">
        <v>1</v>
      </c>
      <c r="J455">
        <f t="shared" si="14"/>
        <v>2</v>
      </c>
      <c r="K455" t="str">
        <f t="shared" si="15"/>
        <v>Home Win</v>
      </c>
    </row>
    <row r="456" spans="1:11" x14ac:dyDescent="0.35">
      <c r="A456">
        <v>455</v>
      </c>
      <c r="B456">
        <v>1990</v>
      </c>
      <c r="C456" s="1">
        <v>33050</v>
      </c>
      <c r="D456" t="s">
        <v>54</v>
      </c>
      <c r="E456" t="s">
        <v>27</v>
      </c>
      <c r="F456">
        <v>1</v>
      </c>
      <c r="G456">
        <v>2</v>
      </c>
      <c r="H456" t="s">
        <v>47</v>
      </c>
      <c r="I456" t="b">
        <v>0</v>
      </c>
      <c r="J456">
        <f t="shared" si="14"/>
        <v>3</v>
      </c>
      <c r="K456" t="str">
        <f t="shared" si="15"/>
        <v>Away Win</v>
      </c>
    </row>
    <row r="457" spans="1:11" x14ac:dyDescent="0.35">
      <c r="A457">
        <v>456</v>
      </c>
      <c r="B457">
        <v>1990</v>
      </c>
      <c r="C457" s="1">
        <v>33050</v>
      </c>
      <c r="D457" t="s">
        <v>54</v>
      </c>
      <c r="E457" t="s">
        <v>22</v>
      </c>
      <c r="F457">
        <v>1</v>
      </c>
      <c r="G457">
        <v>0</v>
      </c>
      <c r="H457" t="s">
        <v>33</v>
      </c>
      <c r="I457" t="b">
        <v>0</v>
      </c>
      <c r="J457">
        <f t="shared" si="14"/>
        <v>1</v>
      </c>
      <c r="K457" t="str">
        <f t="shared" si="15"/>
        <v>Home Win</v>
      </c>
    </row>
    <row r="458" spans="1:11" x14ac:dyDescent="0.35">
      <c r="A458">
        <v>457</v>
      </c>
      <c r="B458">
        <v>1990</v>
      </c>
      <c r="C458" s="1">
        <v>33054</v>
      </c>
      <c r="D458" t="s">
        <v>56</v>
      </c>
      <c r="E458" t="s">
        <v>47</v>
      </c>
      <c r="F458">
        <v>0</v>
      </c>
      <c r="G458">
        <v>0</v>
      </c>
      <c r="H458" t="s">
        <v>9</v>
      </c>
      <c r="I458" t="b">
        <v>0</v>
      </c>
      <c r="J458">
        <f t="shared" si="14"/>
        <v>0</v>
      </c>
      <c r="K458" t="str">
        <f t="shared" si="15"/>
        <v>Draw</v>
      </c>
    </row>
    <row r="459" spans="1:11" x14ac:dyDescent="0.35">
      <c r="A459">
        <v>458</v>
      </c>
      <c r="B459">
        <v>1990</v>
      </c>
      <c r="C459" s="1">
        <v>33054</v>
      </c>
      <c r="D459" t="s">
        <v>56</v>
      </c>
      <c r="E459" t="s">
        <v>11</v>
      </c>
      <c r="F459">
        <v>1</v>
      </c>
      <c r="G459">
        <v>0</v>
      </c>
      <c r="H459" t="s">
        <v>91</v>
      </c>
      <c r="I459" t="b">
        <v>1</v>
      </c>
      <c r="J459">
        <f t="shared" si="14"/>
        <v>1</v>
      </c>
      <c r="K459" t="str">
        <f t="shared" si="15"/>
        <v>Home Win</v>
      </c>
    </row>
    <row r="460" spans="1:11" x14ac:dyDescent="0.35">
      <c r="A460">
        <v>459</v>
      </c>
      <c r="B460">
        <v>1990</v>
      </c>
      <c r="C460" s="1">
        <v>33055</v>
      </c>
      <c r="D460" t="s">
        <v>56</v>
      </c>
      <c r="E460" t="s">
        <v>13</v>
      </c>
      <c r="F460">
        <v>1</v>
      </c>
      <c r="G460">
        <v>0</v>
      </c>
      <c r="H460" t="s">
        <v>12</v>
      </c>
      <c r="I460" t="b">
        <v>0</v>
      </c>
      <c r="J460">
        <f t="shared" si="14"/>
        <v>1</v>
      </c>
      <c r="K460" t="str">
        <f t="shared" si="15"/>
        <v>Home Win</v>
      </c>
    </row>
    <row r="461" spans="1:11" x14ac:dyDescent="0.35">
      <c r="A461">
        <v>460</v>
      </c>
      <c r="B461">
        <v>1990</v>
      </c>
      <c r="C461" s="1">
        <v>33055</v>
      </c>
      <c r="D461" t="s">
        <v>56</v>
      </c>
      <c r="E461" t="s">
        <v>22</v>
      </c>
      <c r="F461">
        <v>3</v>
      </c>
      <c r="G461">
        <v>2</v>
      </c>
      <c r="H461" t="s">
        <v>81</v>
      </c>
      <c r="I461" t="b">
        <v>0</v>
      </c>
      <c r="J461">
        <f t="shared" si="14"/>
        <v>5</v>
      </c>
      <c r="K461" t="str">
        <f t="shared" si="15"/>
        <v>Home Win</v>
      </c>
    </row>
    <row r="462" spans="1:11" x14ac:dyDescent="0.35">
      <c r="A462">
        <v>461</v>
      </c>
      <c r="B462">
        <v>1990</v>
      </c>
      <c r="C462" s="1">
        <v>33057</v>
      </c>
      <c r="D462" t="s">
        <v>52</v>
      </c>
      <c r="E462" t="s">
        <v>11</v>
      </c>
      <c r="F462">
        <v>1</v>
      </c>
      <c r="G462">
        <v>1</v>
      </c>
      <c r="H462" t="s">
        <v>9</v>
      </c>
      <c r="I462" t="b">
        <v>1</v>
      </c>
      <c r="J462">
        <f t="shared" si="14"/>
        <v>2</v>
      </c>
      <c r="K462" t="str">
        <f t="shared" si="15"/>
        <v>Draw</v>
      </c>
    </row>
    <row r="463" spans="1:11" x14ac:dyDescent="0.35">
      <c r="A463">
        <v>462</v>
      </c>
      <c r="B463">
        <v>1990</v>
      </c>
      <c r="C463" s="1">
        <v>33058</v>
      </c>
      <c r="D463" t="s">
        <v>52</v>
      </c>
      <c r="E463" t="s">
        <v>13</v>
      </c>
      <c r="F463">
        <v>1</v>
      </c>
      <c r="G463">
        <v>1</v>
      </c>
      <c r="H463" t="s">
        <v>22</v>
      </c>
      <c r="I463" t="b">
        <v>0</v>
      </c>
      <c r="J463">
        <f t="shared" si="14"/>
        <v>2</v>
      </c>
      <c r="K463" t="str">
        <f t="shared" si="15"/>
        <v>Draw</v>
      </c>
    </row>
    <row r="464" spans="1:11" x14ac:dyDescent="0.35">
      <c r="A464">
        <v>463</v>
      </c>
      <c r="B464">
        <v>1990</v>
      </c>
      <c r="C464" s="1">
        <v>33061</v>
      </c>
      <c r="D464" t="s">
        <v>57</v>
      </c>
      <c r="E464" t="s">
        <v>11</v>
      </c>
      <c r="F464">
        <v>2</v>
      </c>
      <c r="G464">
        <v>1</v>
      </c>
      <c r="H464" t="s">
        <v>22</v>
      </c>
      <c r="I464" t="b">
        <v>1</v>
      </c>
      <c r="J464">
        <f t="shared" si="14"/>
        <v>3</v>
      </c>
      <c r="K464" t="str">
        <f t="shared" si="15"/>
        <v>Home Win</v>
      </c>
    </row>
    <row r="465" spans="1:11" x14ac:dyDescent="0.35">
      <c r="A465">
        <v>464</v>
      </c>
      <c r="B465">
        <v>1990</v>
      </c>
      <c r="C465" s="1">
        <v>33062</v>
      </c>
      <c r="D465" t="s">
        <v>53</v>
      </c>
      <c r="E465" t="s">
        <v>13</v>
      </c>
      <c r="F465">
        <v>1</v>
      </c>
      <c r="G465">
        <v>0</v>
      </c>
      <c r="H465" t="s">
        <v>9</v>
      </c>
      <c r="I465" t="b">
        <v>0</v>
      </c>
      <c r="J465">
        <f t="shared" si="14"/>
        <v>1</v>
      </c>
      <c r="K465" t="str">
        <f t="shared" si="15"/>
        <v>Home Win</v>
      </c>
    </row>
    <row r="466" spans="1:11" x14ac:dyDescent="0.35">
      <c r="A466">
        <v>465</v>
      </c>
      <c r="B466">
        <v>1994</v>
      </c>
      <c r="C466" s="1">
        <v>34502</v>
      </c>
      <c r="D466" t="s">
        <v>45</v>
      </c>
      <c r="E466" t="s">
        <v>13</v>
      </c>
      <c r="F466">
        <v>1</v>
      </c>
      <c r="G466">
        <v>0</v>
      </c>
      <c r="H466" t="s">
        <v>50</v>
      </c>
      <c r="I466" t="b">
        <v>0</v>
      </c>
      <c r="J466">
        <f t="shared" si="14"/>
        <v>1</v>
      </c>
      <c r="K466" t="str">
        <f t="shared" si="15"/>
        <v>Home Win</v>
      </c>
    </row>
    <row r="467" spans="1:11" x14ac:dyDescent="0.35">
      <c r="A467">
        <v>466</v>
      </c>
      <c r="B467">
        <v>1994</v>
      </c>
      <c r="C467" s="1">
        <v>34502</v>
      </c>
      <c r="D467" t="s">
        <v>45</v>
      </c>
      <c r="E467" t="s">
        <v>27</v>
      </c>
      <c r="F467">
        <v>2</v>
      </c>
      <c r="G467">
        <v>2</v>
      </c>
      <c r="H467" t="s">
        <v>64</v>
      </c>
      <c r="I467" t="b">
        <v>0</v>
      </c>
      <c r="J467">
        <f t="shared" si="14"/>
        <v>4</v>
      </c>
      <c r="K467" t="str">
        <f t="shared" si="15"/>
        <v>Draw</v>
      </c>
    </row>
    <row r="468" spans="1:11" x14ac:dyDescent="0.35">
      <c r="A468">
        <v>467</v>
      </c>
      <c r="B468">
        <v>1994</v>
      </c>
      <c r="C468" s="1">
        <v>34503</v>
      </c>
      <c r="D468" t="s">
        <v>45</v>
      </c>
      <c r="E468" t="s">
        <v>46</v>
      </c>
      <c r="F468">
        <v>1</v>
      </c>
      <c r="G468">
        <v>1</v>
      </c>
      <c r="H468" t="s">
        <v>18</v>
      </c>
      <c r="I468" t="b">
        <v>1</v>
      </c>
      <c r="J468">
        <f t="shared" si="14"/>
        <v>2</v>
      </c>
      <c r="K468" t="str">
        <f t="shared" si="15"/>
        <v>Draw</v>
      </c>
    </row>
    <row r="469" spans="1:11" x14ac:dyDescent="0.35">
      <c r="A469">
        <v>468</v>
      </c>
      <c r="B469">
        <v>1994</v>
      </c>
      <c r="C469" s="1">
        <v>34503</v>
      </c>
      <c r="D469" t="s">
        <v>45</v>
      </c>
      <c r="E469" t="s">
        <v>11</v>
      </c>
      <c r="F469">
        <v>0</v>
      </c>
      <c r="G469">
        <v>1</v>
      </c>
      <c r="H469" t="s">
        <v>91</v>
      </c>
      <c r="I469" t="b">
        <v>0</v>
      </c>
      <c r="J469">
        <f t="shared" si="14"/>
        <v>1</v>
      </c>
      <c r="K469" t="str">
        <f t="shared" si="15"/>
        <v>Away Win</v>
      </c>
    </row>
    <row r="470" spans="1:11" x14ac:dyDescent="0.35">
      <c r="A470">
        <v>469</v>
      </c>
      <c r="B470">
        <v>1994</v>
      </c>
      <c r="C470" s="1">
        <v>34503</v>
      </c>
      <c r="D470" t="s">
        <v>45</v>
      </c>
      <c r="E470" t="s">
        <v>67</v>
      </c>
      <c r="F470">
        <v>1</v>
      </c>
      <c r="G470">
        <v>3</v>
      </c>
      <c r="H470" t="s">
        <v>48</v>
      </c>
      <c r="I470" t="b">
        <v>0</v>
      </c>
      <c r="J470">
        <f t="shared" si="14"/>
        <v>4</v>
      </c>
      <c r="K470" t="str">
        <f t="shared" si="15"/>
        <v>Away Win</v>
      </c>
    </row>
    <row r="471" spans="1:11" x14ac:dyDescent="0.35">
      <c r="A471">
        <v>470</v>
      </c>
      <c r="B471">
        <v>1994</v>
      </c>
      <c r="C471" s="1">
        <v>34504</v>
      </c>
      <c r="D471" t="s">
        <v>45</v>
      </c>
      <c r="E471" t="s">
        <v>33</v>
      </c>
      <c r="F471">
        <v>1</v>
      </c>
      <c r="G471">
        <v>0</v>
      </c>
      <c r="H471" t="s">
        <v>71</v>
      </c>
      <c r="I471" t="b">
        <v>0</v>
      </c>
      <c r="J471">
        <f t="shared" si="14"/>
        <v>1</v>
      </c>
      <c r="K471" t="str">
        <f t="shared" si="15"/>
        <v>Home Win</v>
      </c>
    </row>
    <row r="472" spans="1:11" x14ac:dyDescent="0.35">
      <c r="A472">
        <v>471</v>
      </c>
      <c r="B472">
        <v>1994</v>
      </c>
      <c r="C472" s="1">
        <v>34504</v>
      </c>
      <c r="D472" t="s">
        <v>45</v>
      </c>
      <c r="E472" t="s">
        <v>60</v>
      </c>
      <c r="F472">
        <v>1</v>
      </c>
      <c r="G472">
        <v>0</v>
      </c>
      <c r="H472" t="s">
        <v>24</v>
      </c>
      <c r="I472" t="b">
        <v>0</v>
      </c>
      <c r="J472">
        <f t="shared" si="14"/>
        <v>1</v>
      </c>
      <c r="K472" t="str">
        <f t="shared" si="15"/>
        <v>Home Win</v>
      </c>
    </row>
    <row r="473" spans="1:11" x14ac:dyDescent="0.35">
      <c r="A473">
        <v>472</v>
      </c>
      <c r="B473">
        <v>1994</v>
      </c>
      <c r="C473" s="1">
        <v>34504</v>
      </c>
      <c r="D473" t="s">
        <v>45</v>
      </c>
      <c r="E473" t="s">
        <v>81</v>
      </c>
      <c r="F473">
        <v>2</v>
      </c>
      <c r="G473">
        <v>2</v>
      </c>
      <c r="H473" t="s">
        <v>17</v>
      </c>
      <c r="I473" t="b">
        <v>0</v>
      </c>
      <c r="J473">
        <f t="shared" si="14"/>
        <v>4</v>
      </c>
      <c r="K473" t="str">
        <f t="shared" si="15"/>
        <v>Draw</v>
      </c>
    </row>
    <row r="474" spans="1:11" x14ac:dyDescent="0.35">
      <c r="A474">
        <v>473</v>
      </c>
      <c r="B474">
        <v>1994</v>
      </c>
      <c r="C474" s="1">
        <v>34505</v>
      </c>
      <c r="D474" t="s">
        <v>45</v>
      </c>
      <c r="E474" t="s">
        <v>16</v>
      </c>
      <c r="F474">
        <v>2</v>
      </c>
      <c r="G474">
        <v>0</v>
      </c>
      <c r="H474" t="s">
        <v>32</v>
      </c>
      <c r="I474" t="b">
        <v>0</v>
      </c>
      <c r="J474">
        <f t="shared" si="14"/>
        <v>2</v>
      </c>
      <c r="K474" t="str">
        <f t="shared" si="15"/>
        <v>Home Win</v>
      </c>
    </row>
    <row r="475" spans="1:11" x14ac:dyDescent="0.35">
      <c r="A475">
        <v>474</v>
      </c>
      <c r="B475">
        <v>1994</v>
      </c>
      <c r="C475" s="1">
        <v>34505</v>
      </c>
      <c r="D475" t="s">
        <v>45</v>
      </c>
      <c r="E475" t="s">
        <v>25</v>
      </c>
      <c r="F475">
        <v>2</v>
      </c>
      <c r="G475">
        <v>1</v>
      </c>
      <c r="H475" t="s">
        <v>92</v>
      </c>
      <c r="I475" t="b">
        <v>0</v>
      </c>
      <c r="J475">
        <f t="shared" si="14"/>
        <v>3</v>
      </c>
      <c r="K475" t="str">
        <f t="shared" si="15"/>
        <v>Home Win</v>
      </c>
    </row>
    <row r="476" spans="1:11" x14ac:dyDescent="0.35">
      <c r="A476">
        <v>475</v>
      </c>
      <c r="B476">
        <v>1994</v>
      </c>
      <c r="C476" s="1">
        <v>34506</v>
      </c>
      <c r="D476" t="s">
        <v>45</v>
      </c>
      <c r="E476" t="s">
        <v>9</v>
      </c>
      <c r="F476">
        <v>4</v>
      </c>
      <c r="G476">
        <v>0</v>
      </c>
      <c r="H476" t="s">
        <v>93</v>
      </c>
      <c r="I476" t="b">
        <v>0</v>
      </c>
      <c r="J476">
        <f t="shared" si="14"/>
        <v>4</v>
      </c>
      <c r="K476" t="str">
        <f t="shared" si="15"/>
        <v>Home Win</v>
      </c>
    </row>
    <row r="477" spans="1:11" x14ac:dyDescent="0.35">
      <c r="A477">
        <v>476</v>
      </c>
      <c r="B477">
        <v>1994</v>
      </c>
      <c r="C477" s="1">
        <v>34506</v>
      </c>
      <c r="D477" t="s">
        <v>45</v>
      </c>
      <c r="E477" t="s">
        <v>13</v>
      </c>
      <c r="F477">
        <v>1</v>
      </c>
      <c r="G477">
        <v>1</v>
      </c>
      <c r="H477" t="s">
        <v>27</v>
      </c>
      <c r="I477" t="b">
        <v>0</v>
      </c>
      <c r="J477">
        <f t="shared" si="14"/>
        <v>2</v>
      </c>
      <c r="K477" t="str">
        <f t="shared" si="15"/>
        <v>Draw</v>
      </c>
    </row>
    <row r="478" spans="1:11" x14ac:dyDescent="0.35">
      <c r="A478">
        <v>477</v>
      </c>
      <c r="B478">
        <v>1994</v>
      </c>
      <c r="C478" s="1">
        <v>34506</v>
      </c>
      <c r="D478" t="s">
        <v>45</v>
      </c>
      <c r="E478" t="s">
        <v>94</v>
      </c>
      <c r="F478">
        <v>3</v>
      </c>
      <c r="G478">
        <v>0</v>
      </c>
      <c r="H478" t="s">
        <v>68</v>
      </c>
      <c r="I478" t="b">
        <v>0</v>
      </c>
      <c r="J478">
        <f t="shared" si="14"/>
        <v>3</v>
      </c>
      <c r="K478" t="str">
        <f t="shared" si="15"/>
        <v>Home Win</v>
      </c>
    </row>
    <row r="479" spans="1:11" x14ac:dyDescent="0.35">
      <c r="A479">
        <v>478</v>
      </c>
      <c r="B479">
        <v>1994</v>
      </c>
      <c r="C479" s="1">
        <v>34507</v>
      </c>
      <c r="D479" t="s">
        <v>45</v>
      </c>
      <c r="E479" t="s">
        <v>48</v>
      </c>
      <c r="F479">
        <v>1</v>
      </c>
      <c r="G479">
        <v>4</v>
      </c>
      <c r="H479" t="s">
        <v>18</v>
      </c>
      <c r="I479" t="b">
        <v>0</v>
      </c>
      <c r="J479">
        <f t="shared" si="14"/>
        <v>5</v>
      </c>
      <c r="K479" t="str">
        <f t="shared" si="15"/>
        <v>Away Win</v>
      </c>
    </row>
    <row r="480" spans="1:11" x14ac:dyDescent="0.35">
      <c r="A480">
        <v>479</v>
      </c>
      <c r="B480">
        <v>1994</v>
      </c>
      <c r="C480" s="1">
        <v>34507</v>
      </c>
      <c r="D480" t="s">
        <v>45</v>
      </c>
      <c r="E480" t="s">
        <v>46</v>
      </c>
      <c r="F480">
        <v>2</v>
      </c>
      <c r="G480">
        <v>1</v>
      </c>
      <c r="H480" t="s">
        <v>67</v>
      </c>
      <c r="I480" t="b">
        <v>1</v>
      </c>
      <c r="J480">
        <f t="shared" si="14"/>
        <v>3</v>
      </c>
      <c r="K480" t="str">
        <f t="shared" si="15"/>
        <v>Home Win</v>
      </c>
    </row>
    <row r="481" spans="1:11" x14ac:dyDescent="0.35">
      <c r="A481">
        <v>480</v>
      </c>
      <c r="B481">
        <v>1994</v>
      </c>
      <c r="C481" s="1">
        <v>34508</v>
      </c>
      <c r="D481" t="s">
        <v>45</v>
      </c>
      <c r="E481" t="s">
        <v>11</v>
      </c>
      <c r="F481">
        <v>1</v>
      </c>
      <c r="G481">
        <v>0</v>
      </c>
      <c r="H481" t="s">
        <v>60</v>
      </c>
      <c r="I481" t="b">
        <v>0</v>
      </c>
      <c r="J481">
        <f t="shared" si="14"/>
        <v>1</v>
      </c>
      <c r="K481" t="str">
        <f t="shared" si="15"/>
        <v>Home Win</v>
      </c>
    </row>
    <row r="482" spans="1:11" x14ac:dyDescent="0.35">
      <c r="A482">
        <v>481</v>
      </c>
      <c r="B482">
        <v>1994</v>
      </c>
      <c r="C482" s="1">
        <v>34508</v>
      </c>
      <c r="D482" t="s">
        <v>45</v>
      </c>
      <c r="E482" t="s">
        <v>64</v>
      </c>
      <c r="F482">
        <v>0</v>
      </c>
      <c r="G482">
        <v>0</v>
      </c>
      <c r="H482" t="s">
        <v>50</v>
      </c>
      <c r="I482" t="b">
        <v>0</v>
      </c>
      <c r="J482">
        <f t="shared" si="14"/>
        <v>0</v>
      </c>
      <c r="K482" t="str">
        <f t="shared" si="15"/>
        <v>Draw</v>
      </c>
    </row>
    <row r="483" spans="1:11" x14ac:dyDescent="0.35">
      <c r="A483">
        <v>482</v>
      </c>
      <c r="B483">
        <v>1994</v>
      </c>
      <c r="C483" s="1">
        <v>34509</v>
      </c>
      <c r="D483" t="s">
        <v>45</v>
      </c>
      <c r="E483" t="s">
        <v>24</v>
      </c>
      <c r="F483">
        <v>2</v>
      </c>
      <c r="G483">
        <v>1</v>
      </c>
      <c r="H483" t="s">
        <v>91</v>
      </c>
      <c r="I483" t="b">
        <v>0</v>
      </c>
      <c r="J483">
        <f t="shared" si="14"/>
        <v>3</v>
      </c>
      <c r="K483" t="str">
        <f t="shared" si="15"/>
        <v>Home Win</v>
      </c>
    </row>
    <row r="484" spans="1:11" x14ac:dyDescent="0.35">
      <c r="A484">
        <v>483</v>
      </c>
      <c r="B484">
        <v>1994</v>
      </c>
      <c r="C484" s="1">
        <v>34509</v>
      </c>
      <c r="D484" t="s">
        <v>45</v>
      </c>
      <c r="E484" t="s">
        <v>16</v>
      </c>
      <c r="F484">
        <v>3</v>
      </c>
      <c r="G484">
        <v>0</v>
      </c>
      <c r="H484" t="s">
        <v>81</v>
      </c>
      <c r="I484" t="b">
        <v>0</v>
      </c>
      <c r="J484">
        <f t="shared" si="14"/>
        <v>3</v>
      </c>
      <c r="K484" t="str">
        <f t="shared" si="15"/>
        <v>Home Win</v>
      </c>
    </row>
    <row r="485" spans="1:11" x14ac:dyDescent="0.35">
      <c r="A485">
        <v>484</v>
      </c>
      <c r="B485">
        <v>1994</v>
      </c>
      <c r="C485" s="1">
        <v>34509</v>
      </c>
      <c r="D485" t="s">
        <v>45</v>
      </c>
      <c r="E485" t="s">
        <v>17</v>
      </c>
      <c r="F485">
        <v>3</v>
      </c>
      <c r="G485">
        <v>1</v>
      </c>
      <c r="H485" t="s">
        <v>32</v>
      </c>
      <c r="I485" t="b">
        <v>0</v>
      </c>
      <c r="J485">
        <f t="shared" si="14"/>
        <v>4</v>
      </c>
      <c r="K485" t="str">
        <f t="shared" si="15"/>
        <v>Home Win</v>
      </c>
    </row>
    <row r="486" spans="1:11" x14ac:dyDescent="0.35">
      <c r="A486">
        <v>485</v>
      </c>
      <c r="B486">
        <v>1994</v>
      </c>
      <c r="C486" s="1">
        <v>34510</v>
      </c>
      <c r="D486" t="s">
        <v>45</v>
      </c>
      <c r="E486" t="s">
        <v>33</v>
      </c>
      <c r="F486">
        <v>1</v>
      </c>
      <c r="G486">
        <v>0</v>
      </c>
      <c r="H486" t="s">
        <v>25</v>
      </c>
      <c r="I486" t="b">
        <v>0</v>
      </c>
      <c r="J486">
        <f t="shared" si="14"/>
        <v>1</v>
      </c>
      <c r="K486" t="str">
        <f t="shared" si="15"/>
        <v>Home Win</v>
      </c>
    </row>
    <row r="487" spans="1:11" x14ac:dyDescent="0.35">
      <c r="A487">
        <v>486</v>
      </c>
      <c r="B487">
        <v>1994</v>
      </c>
      <c r="C487" s="1">
        <v>34510</v>
      </c>
      <c r="D487" t="s">
        <v>45</v>
      </c>
      <c r="E487" t="s">
        <v>92</v>
      </c>
      <c r="F487">
        <v>2</v>
      </c>
      <c r="G487">
        <v>1</v>
      </c>
      <c r="H487" t="s">
        <v>71</v>
      </c>
      <c r="I487" t="b">
        <v>0</v>
      </c>
      <c r="J487">
        <f t="shared" si="14"/>
        <v>3</v>
      </c>
      <c r="K487" t="str">
        <f t="shared" si="15"/>
        <v>Home Win</v>
      </c>
    </row>
    <row r="488" spans="1:11" x14ac:dyDescent="0.35">
      <c r="A488">
        <v>487</v>
      </c>
      <c r="B488">
        <v>1994</v>
      </c>
      <c r="C488" s="1">
        <v>34510</v>
      </c>
      <c r="D488" t="s">
        <v>45</v>
      </c>
      <c r="E488" t="s">
        <v>9</v>
      </c>
      <c r="F488">
        <v>2</v>
      </c>
      <c r="G488">
        <v>1</v>
      </c>
      <c r="H488" t="s">
        <v>94</v>
      </c>
      <c r="I488" t="b">
        <v>0</v>
      </c>
      <c r="J488">
        <f t="shared" si="14"/>
        <v>3</v>
      </c>
      <c r="K488" t="str">
        <f t="shared" si="15"/>
        <v>Home Win</v>
      </c>
    </row>
    <row r="489" spans="1:11" x14ac:dyDescent="0.35">
      <c r="A489">
        <v>488</v>
      </c>
      <c r="B489">
        <v>1994</v>
      </c>
      <c r="C489" s="1">
        <v>34511</v>
      </c>
      <c r="D489" t="s">
        <v>45</v>
      </c>
      <c r="E489" t="s">
        <v>68</v>
      </c>
      <c r="F489">
        <v>4</v>
      </c>
      <c r="G489">
        <v>0</v>
      </c>
      <c r="H489" t="s">
        <v>93</v>
      </c>
      <c r="I489" t="b">
        <v>0</v>
      </c>
      <c r="J489">
        <f t="shared" si="14"/>
        <v>4</v>
      </c>
      <c r="K489" t="str">
        <f t="shared" si="15"/>
        <v>Home Win</v>
      </c>
    </row>
    <row r="490" spans="1:11" x14ac:dyDescent="0.35">
      <c r="A490">
        <v>489</v>
      </c>
      <c r="B490">
        <v>1994</v>
      </c>
      <c r="C490" s="1">
        <v>34511</v>
      </c>
      <c r="D490" t="s">
        <v>45</v>
      </c>
      <c r="E490" t="s">
        <v>46</v>
      </c>
      <c r="F490">
        <v>0</v>
      </c>
      <c r="G490">
        <v>1</v>
      </c>
      <c r="H490" t="s">
        <v>48</v>
      </c>
      <c r="I490" t="b">
        <v>1</v>
      </c>
      <c r="J490">
        <f t="shared" si="14"/>
        <v>1</v>
      </c>
      <c r="K490" t="str">
        <f t="shared" si="15"/>
        <v>Away Win</v>
      </c>
    </row>
    <row r="491" spans="1:11" x14ac:dyDescent="0.35">
      <c r="A491">
        <v>490</v>
      </c>
      <c r="B491">
        <v>1994</v>
      </c>
      <c r="C491" s="1">
        <v>34511</v>
      </c>
      <c r="D491" t="s">
        <v>45</v>
      </c>
      <c r="E491" t="s">
        <v>18</v>
      </c>
      <c r="F491">
        <v>0</v>
      </c>
      <c r="G491">
        <v>2</v>
      </c>
      <c r="H491" t="s">
        <v>67</v>
      </c>
      <c r="I491" t="b">
        <v>0</v>
      </c>
      <c r="J491">
        <f t="shared" si="14"/>
        <v>2</v>
      </c>
      <c r="K491" t="str">
        <f t="shared" si="15"/>
        <v>Away Win</v>
      </c>
    </row>
    <row r="492" spans="1:11" x14ac:dyDescent="0.35">
      <c r="A492">
        <v>491</v>
      </c>
      <c r="B492">
        <v>1994</v>
      </c>
      <c r="C492" s="1">
        <v>34512</v>
      </c>
      <c r="D492" t="s">
        <v>45</v>
      </c>
      <c r="E492" t="s">
        <v>13</v>
      </c>
      <c r="F492">
        <v>3</v>
      </c>
      <c r="G492">
        <v>2</v>
      </c>
      <c r="H492" t="s">
        <v>64</v>
      </c>
      <c r="I492" t="b">
        <v>0</v>
      </c>
      <c r="J492">
        <f t="shared" si="14"/>
        <v>5</v>
      </c>
      <c r="K492" t="str">
        <f t="shared" si="15"/>
        <v>Home Win</v>
      </c>
    </row>
    <row r="493" spans="1:11" x14ac:dyDescent="0.35">
      <c r="A493">
        <v>492</v>
      </c>
      <c r="B493">
        <v>1994</v>
      </c>
      <c r="C493" s="1">
        <v>34512</v>
      </c>
      <c r="D493" t="s">
        <v>45</v>
      </c>
      <c r="E493" t="s">
        <v>50</v>
      </c>
      <c r="F493">
        <v>1</v>
      </c>
      <c r="G493">
        <v>3</v>
      </c>
      <c r="H493" t="s">
        <v>27</v>
      </c>
      <c r="I493" t="b">
        <v>0</v>
      </c>
      <c r="J493">
        <f t="shared" si="14"/>
        <v>4</v>
      </c>
      <c r="K493" t="str">
        <f t="shared" si="15"/>
        <v>Away Win</v>
      </c>
    </row>
    <row r="494" spans="1:11" x14ac:dyDescent="0.35">
      <c r="A494">
        <v>493</v>
      </c>
      <c r="B494">
        <v>1994</v>
      </c>
      <c r="C494" s="1">
        <v>34513</v>
      </c>
      <c r="D494" t="s">
        <v>45</v>
      </c>
      <c r="E494" t="s">
        <v>91</v>
      </c>
      <c r="F494">
        <v>0</v>
      </c>
      <c r="G494">
        <v>0</v>
      </c>
      <c r="H494" t="s">
        <v>60</v>
      </c>
      <c r="I494" t="b">
        <v>0</v>
      </c>
      <c r="J494">
        <f t="shared" si="14"/>
        <v>0</v>
      </c>
      <c r="K494" t="str">
        <f t="shared" si="15"/>
        <v>Draw</v>
      </c>
    </row>
    <row r="495" spans="1:11" x14ac:dyDescent="0.35">
      <c r="A495">
        <v>494</v>
      </c>
      <c r="B495">
        <v>1994</v>
      </c>
      <c r="C495" s="1">
        <v>34513</v>
      </c>
      <c r="D495" t="s">
        <v>45</v>
      </c>
      <c r="E495" t="s">
        <v>11</v>
      </c>
      <c r="F495">
        <v>1</v>
      </c>
      <c r="G495">
        <v>1</v>
      </c>
      <c r="H495" t="s">
        <v>24</v>
      </c>
      <c r="I495" t="b">
        <v>0</v>
      </c>
      <c r="J495">
        <f t="shared" si="14"/>
        <v>2</v>
      </c>
      <c r="K495" t="str">
        <f t="shared" si="15"/>
        <v>Draw</v>
      </c>
    </row>
    <row r="496" spans="1:11" x14ac:dyDescent="0.35">
      <c r="A496">
        <v>495</v>
      </c>
      <c r="B496">
        <v>1994</v>
      </c>
      <c r="C496" s="1">
        <v>34513</v>
      </c>
      <c r="D496" t="s">
        <v>45</v>
      </c>
      <c r="E496" t="s">
        <v>16</v>
      </c>
      <c r="F496">
        <v>1</v>
      </c>
      <c r="G496">
        <v>1</v>
      </c>
      <c r="H496" t="s">
        <v>17</v>
      </c>
      <c r="I496" t="b">
        <v>0</v>
      </c>
      <c r="J496">
        <f t="shared" si="14"/>
        <v>2</v>
      </c>
      <c r="K496" t="str">
        <f t="shared" si="15"/>
        <v>Draw</v>
      </c>
    </row>
    <row r="497" spans="1:11" x14ac:dyDescent="0.35">
      <c r="A497">
        <v>496</v>
      </c>
      <c r="B497">
        <v>1994</v>
      </c>
      <c r="C497" s="1">
        <v>34513</v>
      </c>
      <c r="D497" t="s">
        <v>45</v>
      </c>
      <c r="E497" t="s">
        <v>32</v>
      </c>
      <c r="F497">
        <v>6</v>
      </c>
      <c r="G497">
        <v>1</v>
      </c>
      <c r="H497" t="s">
        <v>81</v>
      </c>
      <c r="I497" t="b">
        <v>0</v>
      </c>
      <c r="J497">
        <f t="shared" si="14"/>
        <v>7</v>
      </c>
      <c r="K497" t="str">
        <f t="shared" si="15"/>
        <v>Home Win</v>
      </c>
    </row>
    <row r="498" spans="1:11" x14ac:dyDescent="0.35">
      <c r="A498">
        <v>497</v>
      </c>
      <c r="B498">
        <v>1994</v>
      </c>
      <c r="C498" s="1">
        <v>34514</v>
      </c>
      <c r="D498" t="s">
        <v>45</v>
      </c>
      <c r="E498" t="s">
        <v>71</v>
      </c>
      <c r="F498">
        <v>1</v>
      </c>
      <c r="G498">
        <v>2</v>
      </c>
      <c r="H498" t="s">
        <v>25</v>
      </c>
      <c r="I498" t="b">
        <v>0</v>
      </c>
      <c r="J498">
        <f t="shared" si="14"/>
        <v>3</v>
      </c>
      <c r="K498" t="str">
        <f t="shared" si="15"/>
        <v>Away Win</v>
      </c>
    </row>
    <row r="499" spans="1:11" x14ac:dyDescent="0.35">
      <c r="A499">
        <v>498</v>
      </c>
      <c r="B499">
        <v>1994</v>
      </c>
      <c r="C499" s="1">
        <v>34514</v>
      </c>
      <c r="D499" t="s">
        <v>45</v>
      </c>
      <c r="E499" t="s">
        <v>33</v>
      </c>
      <c r="F499">
        <v>0</v>
      </c>
      <c r="G499">
        <v>1</v>
      </c>
      <c r="H499" t="s">
        <v>92</v>
      </c>
      <c r="I499" t="b">
        <v>0</v>
      </c>
      <c r="J499">
        <f t="shared" si="14"/>
        <v>1</v>
      </c>
      <c r="K499" t="str">
        <f t="shared" si="15"/>
        <v>Away Win</v>
      </c>
    </row>
    <row r="500" spans="1:11" x14ac:dyDescent="0.35">
      <c r="A500">
        <v>499</v>
      </c>
      <c r="B500">
        <v>1994</v>
      </c>
      <c r="C500" s="1">
        <v>34515</v>
      </c>
      <c r="D500" t="s">
        <v>45</v>
      </c>
      <c r="E500" t="s">
        <v>93</v>
      </c>
      <c r="F500">
        <v>0</v>
      </c>
      <c r="G500">
        <v>2</v>
      </c>
      <c r="H500" t="s">
        <v>94</v>
      </c>
      <c r="I500" t="b">
        <v>0</v>
      </c>
      <c r="J500">
        <f t="shared" si="14"/>
        <v>2</v>
      </c>
      <c r="K500" t="str">
        <f t="shared" si="15"/>
        <v>Away Win</v>
      </c>
    </row>
    <row r="501" spans="1:11" x14ac:dyDescent="0.35">
      <c r="A501">
        <v>500</v>
      </c>
      <c r="B501">
        <v>1994</v>
      </c>
      <c r="C501" s="1">
        <v>34515</v>
      </c>
      <c r="D501" t="s">
        <v>45</v>
      </c>
      <c r="E501" t="s">
        <v>9</v>
      </c>
      <c r="F501">
        <v>0</v>
      </c>
      <c r="G501">
        <v>2</v>
      </c>
      <c r="H501" t="s">
        <v>68</v>
      </c>
      <c r="I501" t="b">
        <v>0</v>
      </c>
      <c r="J501">
        <f t="shared" si="14"/>
        <v>2</v>
      </c>
      <c r="K501" t="str">
        <f t="shared" si="15"/>
        <v>Away Win</v>
      </c>
    </row>
    <row r="502" spans="1:11" x14ac:dyDescent="0.35">
      <c r="A502">
        <v>501</v>
      </c>
      <c r="B502">
        <v>1994</v>
      </c>
      <c r="C502" s="1">
        <v>34517</v>
      </c>
      <c r="D502" t="s">
        <v>54</v>
      </c>
      <c r="E502" t="s">
        <v>13</v>
      </c>
      <c r="F502">
        <v>3</v>
      </c>
      <c r="G502">
        <v>2</v>
      </c>
      <c r="H502" t="s">
        <v>33</v>
      </c>
      <c r="I502" t="b">
        <v>0</v>
      </c>
      <c r="J502">
        <f t="shared" si="14"/>
        <v>5</v>
      </c>
      <c r="K502" t="str">
        <f t="shared" si="15"/>
        <v>Home Win</v>
      </c>
    </row>
    <row r="503" spans="1:11" x14ac:dyDescent="0.35">
      <c r="A503">
        <v>502</v>
      </c>
      <c r="B503">
        <v>1994</v>
      </c>
      <c r="C503" s="1">
        <v>34517</v>
      </c>
      <c r="D503" t="s">
        <v>54</v>
      </c>
      <c r="E503" t="s">
        <v>27</v>
      </c>
      <c r="F503">
        <v>3</v>
      </c>
      <c r="G503">
        <v>0</v>
      </c>
      <c r="H503" t="s">
        <v>18</v>
      </c>
      <c r="I503" t="b">
        <v>0</v>
      </c>
      <c r="J503">
        <f t="shared" si="14"/>
        <v>3</v>
      </c>
      <c r="K503" t="str">
        <f t="shared" si="15"/>
        <v>Home Win</v>
      </c>
    </row>
    <row r="504" spans="1:11" x14ac:dyDescent="0.35">
      <c r="A504">
        <v>503</v>
      </c>
      <c r="B504">
        <v>1994</v>
      </c>
      <c r="C504" s="1">
        <v>34518</v>
      </c>
      <c r="D504" t="s">
        <v>54</v>
      </c>
      <c r="E504" t="s">
        <v>92</v>
      </c>
      <c r="F504">
        <v>1</v>
      </c>
      <c r="G504">
        <v>3</v>
      </c>
      <c r="H504" t="s">
        <v>17</v>
      </c>
      <c r="I504" t="b">
        <v>0</v>
      </c>
      <c r="J504">
        <f t="shared" si="14"/>
        <v>4</v>
      </c>
      <c r="K504" t="str">
        <f t="shared" si="15"/>
        <v>Away Win</v>
      </c>
    </row>
    <row r="505" spans="1:11" x14ac:dyDescent="0.35">
      <c r="A505">
        <v>504</v>
      </c>
      <c r="B505">
        <v>1994</v>
      </c>
      <c r="C505" s="1">
        <v>34518</v>
      </c>
      <c r="D505" t="s">
        <v>54</v>
      </c>
      <c r="E505" t="s">
        <v>48</v>
      </c>
      <c r="F505">
        <v>3</v>
      </c>
      <c r="G505">
        <v>2</v>
      </c>
      <c r="H505" t="s">
        <v>9</v>
      </c>
      <c r="I505" t="b">
        <v>0</v>
      </c>
      <c r="J505">
        <f t="shared" si="14"/>
        <v>5</v>
      </c>
      <c r="K505" t="str">
        <f t="shared" si="15"/>
        <v>Home Win</v>
      </c>
    </row>
    <row r="506" spans="1:11" x14ac:dyDescent="0.35">
      <c r="A506">
        <v>505</v>
      </c>
      <c r="B506">
        <v>1994</v>
      </c>
      <c r="C506" s="1">
        <v>34519</v>
      </c>
      <c r="D506" t="s">
        <v>54</v>
      </c>
      <c r="E506" t="s">
        <v>25</v>
      </c>
      <c r="F506">
        <v>2</v>
      </c>
      <c r="G506">
        <v>0</v>
      </c>
      <c r="H506" t="s">
        <v>91</v>
      </c>
      <c r="I506" t="b">
        <v>0</v>
      </c>
      <c r="J506">
        <f t="shared" si="14"/>
        <v>2</v>
      </c>
      <c r="K506" t="str">
        <f t="shared" si="15"/>
        <v>Home Win</v>
      </c>
    </row>
    <row r="507" spans="1:11" x14ac:dyDescent="0.35">
      <c r="A507">
        <v>506</v>
      </c>
      <c r="B507">
        <v>1994</v>
      </c>
      <c r="C507" s="1">
        <v>34519</v>
      </c>
      <c r="D507" t="s">
        <v>54</v>
      </c>
      <c r="E507" t="s">
        <v>46</v>
      </c>
      <c r="F507">
        <v>0</v>
      </c>
      <c r="G507">
        <v>1</v>
      </c>
      <c r="H507" t="s">
        <v>16</v>
      </c>
      <c r="I507" t="b">
        <v>1</v>
      </c>
      <c r="J507">
        <f t="shared" si="14"/>
        <v>1</v>
      </c>
      <c r="K507" t="str">
        <f t="shared" si="15"/>
        <v>Away Win</v>
      </c>
    </row>
    <row r="508" spans="1:11" x14ac:dyDescent="0.35">
      <c r="A508">
        <v>507</v>
      </c>
      <c r="B508">
        <v>1994</v>
      </c>
      <c r="C508" s="1">
        <v>34520</v>
      </c>
      <c r="D508" t="s">
        <v>54</v>
      </c>
      <c r="E508" t="s">
        <v>94</v>
      </c>
      <c r="F508">
        <v>1</v>
      </c>
      <c r="G508">
        <v>2</v>
      </c>
      <c r="H508" t="s">
        <v>11</v>
      </c>
      <c r="I508" t="b">
        <v>0</v>
      </c>
      <c r="J508">
        <f t="shared" si="14"/>
        <v>3</v>
      </c>
      <c r="K508" t="str">
        <f t="shared" si="15"/>
        <v>Away Win</v>
      </c>
    </row>
    <row r="509" spans="1:11" x14ac:dyDescent="0.35">
      <c r="A509">
        <v>508</v>
      </c>
      <c r="B509">
        <v>1994</v>
      </c>
      <c r="C509" s="1">
        <v>34520</v>
      </c>
      <c r="D509" t="s">
        <v>54</v>
      </c>
      <c r="E509" t="s">
        <v>24</v>
      </c>
      <c r="F509">
        <v>1</v>
      </c>
      <c r="G509">
        <v>1</v>
      </c>
      <c r="H509" t="s">
        <v>68</v>
      </c>
      <c r="I509" t="b">
        <v>0</v>
      </c>
      <c r="J509">
        <f t="shared" si="14"/>
        <v>2</v>
      </c>
      <c r="K509" t="str">
        <f t="shared" si="15"/>
        <v>Draw</v>
      </c>
    </row>
    <row r="510" spans="1:11" x14ac:dyDescent="0.35">
      <c r="A510">
        <v>509</v>
      </c>
      <c r="B510">
        <v>1994</v>
      </c>
      <c r="C510" s="1">
        <v>34524</v>
      </c>
      <c r="D510" t="s">
        <v>56</v>
      </c>
      <c r="E510" t="s">
        <v>11</v>
      </c>
      <c r="F510">
        <v>2</v>
      </c>
      <c r="G510">
        <v>1</v>
      </c>
      <c r="H510" t="s">
        <v>27</v>
      </c>
      <c r="I510" t="b">
        <v>0</v>
      </c>
      <c r="J510">
        <f t="shared" si="14"/>
        <v>3</v>
      </c>
      <c r="K510" t="str">
        <f t="shared" si="15"/>
        <v>Home Win</v>
      </c>
    </row>
    <row r="511" spans="1:11" x14ac:dyDescent="0.35">
      <c r="A511">
        <v>510</v>
      </c>
      <c r="B511">
        <v>1994</v>
      </c>
      <c r="C511" s="1">
        <v>34524</v>
      </c>
      <c r="D511" t="s">
        <v>56</v>
      </c>
      <c r="E511" t="s">
        <v>25</v>
      </c>
      <c r="F511">
        <v>2</v>
      </c>
      <c r="G511">
        <v>3</v>
      </c>
      <c r="H511" t="s">
        <v>16</v>
      </c>
      <c r="I511" t="b">
        <v>0</v>
      </c>
      <c r="J511">
        <f t="shared" si="14"/>
        <v>5</v>
      </c>
      <c r="K511" t="str">
        <f t="shared" si="15"/>
        <v>Away Win</v>
      </c>
    </row>
    <row r="512" spans="1:11" x14ac:dyDescent="0.35">
      <c r="A512">
        <v>511</v>
      </c>
      <c r="B512">
        <v>1994</v>
      </c>
      <c r="C512" s="1">
        <v>34525</v>
      </c>
      <c r="D512" t="s">
        <v>56</v>
      </c>
      <c r="E512" t="s">
        <v>68</v>
      </c>
      <c r="F512">
        <v>2</v>
      </c>
      <c r="G512">
        <v>1</v>
      </c>
      <c r="H512" t="s">
        <v>13</v>
      </c>
      <c r="I512" t="b">
        <v>0</v>
      </c>
      <c r="J512">
        <f t="shared" si="14"/>
        <v>3</v>
      </c>
      <c r="K512" t="str">
        <f t="shared" si="15"/>
        <v>Home Win</v>
      </c>
    </row>
    <row r="513" spans="1:11" x14ac:dyDescent="0.35">
      <c r="A513">
        <v>512</v>
      </c>
      <c r="B513">
        <v>1994</v>
      </c>
      <c r="C513" s="1">
        <v>34525</v>
      </c>
      <c r="D513" t="s">
        <v>56</v>
      </c>
      <c r="E513" t="s">
        <v>48</v>
      </c>
      <c r="F513">
        <v>2</v>
      </c>
      <c r="G513">
        <v>2</v>
      </c>
      <c r="H513" t="s">
        <v>17</v>
      </c>
      <c r="I513" t="b">
        <v>0</v>
      </c>
      <c r="J513">
        <f t="shared" si="14"/>
        <v>4</v>
      </c>
      <c r="K513" t="str">
        <f t="shared" si="15"/>
        <v>Draw</v>
      </c>
    </row>
    <row r="514" spans="1:11" x14ac:dyDescent="0.35">
      <c r="A514">
        <v>513</v>
      </c>
      <c r="B514">
        <v>1994</v>
      </c>
      <c r="C514" s="1">
        <v>34528</v>
      </c>
      <c r="D514" t="s">
        <v>52</v>
      </c>
      <c r="E514" t="s">
        <v>68</v>
      </c>
      <c r="F514">
        <v>1</v>
      </c>
      <c r="G514">
        <v>2</v>
      </c>
      <c r="H514" t="s">
        <v>11</v>
      </c>
      <c r="I514" t="b">
        <v>0</v>
      </c>
      <c r="J514">
        <f t="shared" si="14"/>
        <v>3</v>
      </c>
      <c r="K514" t="str">
        <f t="shared" si="15"/>
        <v>Away Win</v>
      </c>
    </row>
    <row r="515" spans="1:11" x14ac:dyDescent="0.35">
      <c r="A515">
        <v>514</v>
      </c>
      <c r="B515">
        <v>1994</v>
      </c>
      <c r="C515" s="1">
        <v>34528</v>
      </c>
      <c r="D515" t="s">
        <v>52</v>
      </c>
      <c r="E515" t="s">
        <v>17</v>
      </c>
      <c r="F515">
        <v>0</v>
      </c>
      <c r="G515">
        <v>1</v>
      </c>
      <c r="H515" t="s">
        <v>16</v>
      </c>
      <c r="I515" t="b">
        <v>0</v>
      </c>
      <c r="J515">
        <f t="shared" ref="J515:J578" si="16">F:F+G:G</f>
        <v>1</v>
      </c>
      <c r="K515" t="str">
        <f t="shared" ref="K515:K578" si="17">IF(F515&gt;G515,"Home Win",IF(F515&lt;G515,"Away Win","Draw"))</f>
        <v>Away Win</v>
      </c>
    </row>
    <row r="516" spans="1:11" x14ac:dyDescent="0.35">
      <c r="A516">
        <v>515</v>
      </c>
      <c r="B516">
        <v>1994</v>
      </c>
      <c r="C516" s="1">
        <v>34531</v>
      </c>
      <c r="D516" t="s">
        <v>57</v>
      </c>
      <c r="E516" t="s">
        <v>17</v>
      </c>
      <c r="F516">
        <v>4</v>
      </c>
      <c r="G516">
        <v>0</v>
      </c>
      <c r="H516" t="s">
        <v>68</v>
      </c>
      <c r="I516" t="b">
        <v>0</v>
      </c>
      <c r="J516">
        <f t="shared" si="16"/>
        <v>4</v>
      </c>
      <c r="K516" t="str">
        <f t="shared" si="17"/>
        <v>Home Win</v>
      </c>
    </row>
    <row r="517" spans="1:11" x14ac:dyDescent="0.35">
      <c r="A517">
        <v>516</v>
      </c>
      <c r="B517">
        <v>1994</v>
      </c>
      <c r="C517" s="1">
        <v>34532</v>
      </c>
      <c r="D517" t="s">
        <v>53</v>
      </c>
      <c r="E517" t="s">
        <v>16</v>
      </c>
      <c r="F517">
        <v>0</v>
      </c>
      <c r="G517">
        <v>0</v>
      </c>
      <c r="H517" t="s">
        <v>11</v>
      </c>
      <c r="I517" t="b">
        <v>0</v>
      </c>
      <c r="J517">
        <f t="shared" si="16"/>
        <v>0</v>
      </c>
      <c r="K517" t="str">
        <f t="shared" si="17"/>
        <v>Draw</v>
      </c>
    </row>
    <row r="518" spans="1:11" x14ac:dyDescent="0.35">
      <c r="A518">
        <v>517</v>
      </c>
      <c r="B518">
        <v>1998</v>
      </c>
      <c r="C518" s="1">
        <v>35956</v>
      </c>
      <c r="D518" t="s">
        <v>45</v>
      </c>
      <c r="E518" t="s">
        <v>16</v>
      </c>
      <c r="F518">
        <v>2</v>
      </c>
      <c r="G518">
        <v>1</v>
      </c>
      <c r="H518" t="s">
        <v>63</v>
      </c>
      <c r="I518" t="b">
        <v>0</v>
      </c>
      <c r="J518">
        <f t="shared" si="16"/>
        <v>3</v>
      </c>
      <c r="K518" t="str">
        <f t="shared" si="17"/>
        <v>Home Win</v>
      </c>
    </row>
    <row r="519" spans="1:11" x14ac:dyDescent="0.35">
      <c r="A519">
        <v>518</v>
      </c>
      <c r="B519">
        <v>1998</v>
      </c>
      <c r="C519" s="1">
        <v>35956</v>
      </c>
      <c r="D519" t="s">
        <v>45</v>
      </c>
      <c r="E519" t="s">
        <v>71</v>
      </c>
      <c r="F519">
        <v>2</v>
      </c>
      <c r="G519">
        <v>2</v>
      </c>
      <c r="H519" t="s">
        <v>60</v>
      </c>
      <c r="I519" t="b">
        <v>0</v>
      </c>
      <c r="J519">
        <f t="shared" si="16"/>
        <v>4</v>
      </c>
      <c r="K519" t="str">
        <f t="shared" si="17"/>
        <v>Draw</v>
      </c>
    </row>
    <row r="520" spans="1:11" x14ac:dyDescent="0.35">
      <c r="A520">
        <v>519</v>
      </c>
      <c r="B520">
        <v>1998</v>
      </c>
      <c r="C520" s="1">
        <v>35957</v>
      </c>
      <c r="D520" t="s">
        <v>45</v>
      </c>
      <c r="E520" t="s">
        <v>11</v>
      </c>
      <c r="F520">
        <v>2</v>
      </c>
      <c r="G520">
        <v>2</v>
      </c>
      <c r="H520" t="s">
        <v>21</v>
      </c>
      <c r="I520" t="b">
        <v>0</v>
      </c>
      <c r="J520">
        <f t="shared" si="16"/>
        <v>4</v>
      </c>
      <c r="K520" t="str">
        <f t="shared" si="17"/>
        <v>Draw</v>
      </c>
    </row>
    <row r="521" spans="1:11" x14ac:dyDescent="0.35">
      <c r="A521">
        <v>520</v>
      </c>
      <c r="B521">
        <v>1998</v>
      </c>
      <c r="C521" s="1">
        <v>35957</v>
      </c>
      <c r="D521" t="s">
        <v>45</v>
      </c>
      <c r="E521" t="s">
        <v>81</v>
      </c>
      <c r="F521">
        <v>1</v>
      </c>
      <c r="G521">
        <v>1</v>
      </c>
      <c r="H521" t="s">
        <v>20</v>
      </c>
      <c r="I521" t="b">
        <v>0</v>
      </c>
      <c r="J521">
        <f t="shared" si="16"/>
        <v>2</v>
      </c>
      <c r="K521" t="str">
        <f t="shared" si="17"/>
        <v>Draw</v>
      </c>
    </row>
    <row r="522" spans="1:11" x14ac:dyDescent="0.35">
      <c r="A522">
        <v>521</v>
      </c>
      <c r="B522">
        <v>1998</v>
      </c>
      <c r="C522" s="1">
        <v>35958</v>
      </c>
      <c r="D522" t="s">
        <v>45</v>
      </c>
      <c r="E522" t="s">
        <v>51</v>
      </c>
      <c r="F522">
        <v>0</v>
      </c>
      <c r="G522">
        <v>0</v>
      </c>
      <c r="H522" t="s">
        <v>68</v>
      </c>
      <c r="I522" t="b">
        <v>0</v>
      </c>
      <c r="J522">
        <f t="shared" si="16"/>
        <v>0</v>
      </c>
      <c r="K522" t="str">
        <f t="shared" si="17"/>
        <v>Draw</v>
      </c>
    </row>
    <row r="523" spans="1:11" x14ac:dyDescent="0.35">
      <c r="A523">
        <v>522</v>
      </c>
      <c r="B523">
        <v>1998</v>
      </c>
      <c r="C523" s="1">
        <v>35958</v>
      </c>
      <c r="D523" t="s">
        <v>45</v>
      </c>
      <c r="E523" t="s">
        <v>92</v>
      </c>
      <c r="F523">
        <v>0</v>
      </c>
      <c r="G523">
        <v>1</v>
      </c>
      <c r="H523" t="s">
        <v>88</v>
      </c>
      <c r="I523" t="b">
        <v>0</v>
      </c>
      <c r="J523">
        <f t="shared" si="16"/>
        <v>1</v>
      </c>
      <c r="K523" t="str">
        <f t="shared" si="17"/>
        <v>Away Win</v>
      </c>
    </row>
    <row r="524" spans="1:11" x14ac:dyDescent="0.35">
      <c r="A524">
        <v>523</v>
      </c>
      <c r="B524">
        <v>1998</v>
      </c>
      <c r="C524" s="1">
        <v>35958</v>
      </c>
      <c r="D524" t="s">
        <v>45</v>
      </c>
      <c r="E524" t="s">
        <v>14</v>
      </c>
      <c r="F524">
        <v>3</v>
      </c>
      <c r="G524">
        <v>0</v>
      </c>
      <c r="H524" t="s">
        <v>31</v>
      </c>
      <c r="I524" t="b">
        <v>1</v>
      </c>
      <c r="J524">
        <f t="shared" si="16"/>
        <v>3</v>
      </c>
      <c r="K524" t="str">
        <f t="shared" si="17"/>
        <v>Home Win</v>
      </c>
    </row>
    <row r="525" spans="1:11" x14ac:dyDescent="0.35">
      <c r="A525">
        <v>524</v>
      </c>
      <c r="B525">
        <v>1998</v>
      </c>
      <c r="C525" s="1">
        <v>35959</v>
      </c>
      <c r="D525" t="s">
        <v>45</v>
      </c>
      <c r="E525" t="s">
        <v>27</v>
      </c>
      <c r="F525">
        <v>2</v>
      </c>
      <c r="G525">
        <v>3</v>
      </c>
      <c r="H525" t="s">
        <v>94</v>
      </c>
      <c r="I525" t="b">
        <v>0</v>
      </c>
      <c r="J525">
        <f t="shared" si="16"/>
        <v>5</v>
      </c>
      <c r="K525" t="str">
        <f t="shared" si="17"/>
        <v>Away Win</v>
      </c>
    </row>
    <row r="526" spans="1:11" x14ac:dyDescent="0.35">
      <c r="A526">
        <v>525</v>
      </c>
      <c r="B526">
        <v>1998</v>
      </c>
      <c r="C526" s="1">
        <v>35959</v>
      </c>
      <c r="D526" t="s">
        <v>45</v>
      </c>
      <c r="E526" t="s">
        <v>64</v>
      </c>
      <c r="F526">
        <v>1</v>
      </c>
      <c r="G526">
        <v>3</v>
      </c>
      <c r="H526" t="s">
        <v>24</v>
      </c>
      <c r="I526" t="b">
        <v>0</v>
      </c>
      <c r="J526">
        <f t="shared" si="16"/>
        <v>4</v>
      </c>
      <c r="K526" t="str">
        <f t="shared" si="17"/>
        <v>Away Win</v>
      </c>
    </row>
    <row r="527" spans="1:11" x14ac:dyDescent="0.35">
      <c r="A527">
        <v>526</v>
      </c>
      <c r="B527">
        <v>1998</v>
      </c>
      <c r="C527" s="1">
        <v>35959</v>
      </c>
      <c r="D527" t="s">
        <v>45</v>
      </c>
      <c r="E527" t="s">
        <v>25</v>
      </c>
      <c r="F527">
        <v>0</v>
      </c>
      <c r="G527">
        <v>0</v>
      </c>
      <c r="H527" t="s">
        <v>33</v>
      </c>
      <c r="I527" t="b">
        <v>0</v>
      </c>
      <c r="J527">
        <f t="shared" si="16"/>
        <v>0</v>
      </c>
      <c r="K527" t="str">
        <f t="shared" si="17"/>
        <v>Draw</v>
      </c>
    </row>
    <row r="528" spans="1:11" x14ac:dyDescent="0.35">
      <c r="A528">
        <v>527</v>
      </c>
      <c r="B528">
        <v>1998</v>
      </c>
      <c r="C528" s="1">
        <v>35960</v>
      </c>
      <c r="D528" t="s">
        <v>45</v>
      </c>
      <c r="E528" t="s">
        <v>9</v>
      </c>
      <c r="F528">
        <v>1</v>
      </c>
      <c r="G528">
        <v>0</v>
      </c>
      <c r="H528" t="s">
        <v>95</v>
      </c>
      <c r="I528" t="b">
        <v>0</v>
      </c>
      <c r="J528">
        <f t="shared" si="16"/>
        <v>1</v>
      </c>
      <c r="K528" t="str">
        <f t="shared" si="17"/>
        <v>Home Win</v>
      </c>
    </row>
    <row r="529" spans="1:11" x14ac:dyDescent="0.35">
      <c r="A529">
        <v>528</v>
      </c>
      <c r="B529">
        <v>1998</v>
      </c>
      <c r="C529" s="1">
        <v>35960</v>
      </c>
      <c r="D529" t="s">
        <v>45</v>
      </c>
      <c r="E529" t="s">
        <v>47</v>
      </c>
      <c r="F529">
        <v>1</v>
      </c>
      <c r="G529">
        <v>0</v>
      </c>
      <c r="H529" t="s">
        <v>80</v>
      </c>
      <c r="I529" t="b">
        <v>0</v>
      </c>
      <c r="J529">
        <f t="shared" si="16"/>
        <v>1</v>
      </c>
      <c r="K529" t="str">
        <f t="shared" si="17"/>
        <v>Home Win</v>
      </c>
    </row>
    <row r="530" spans="1:11" x14ac:dyDescent="0.35">
      <c r="A530">
        <v>529</v>
      </c>
      <c r="B530">
        <v>1998</v>
      </c>
      <c r="C530" s="1">
        <v>35960</v>
      </c>
      <c r="D530" t="s">
        <v>45</v>
      </c>
      <c r="E530" t="s">
        <v>96</v>
      </c>
      <c r="F530">
        <v>1</v>
      </c>
      <c r="G530">
        <v>3</v>
      </c>
      <c r="H530" t="s">
        <v>28</v>
      </c>
      <c r="I530" t="b">
        <v>0</v>
      </c>
      <c r="J530">
        <f t="shared" si="16"/>
        <v>4</v>
      </c>
      <c r="K530" t="str">
        <f t="shared" si="17"/>
        <v>Away Win</v>
      </c>
    </row>
    <row r="531" spans="1:11" x14ac:dyDescent="0.35">
      <c r="A531">
        <v>530</v>
      </c>
      <c r="B531">
        <v>1998</v>
      </c>
      <c r="C531" s="1">
        <v>35961</v>
      </c>
      <c r="D531" t="s">
        <v>45</v>
      </c>
      <c r="E531" t="s">
        <v>22</v>
      </c>
      <c r="F531">
        <v>2</v>
      </c>
      <c r="G531">
        <v>0</v>
      </c>
      <c r="H531" t="s">
        <v>79</v>
      </c>
      <c r="I531" t="b">
        <v>0</v>
      </c>
      <c r="J531">
        <f t="shared" si="16"/>
        <v>2</v>
      </c>
      <c r="K531" t="str">
        <f t="shared" si="17"/>
        <v>Home Win</v>
      </c>
    </row>
    <row r="532" spans="1:11" x14ac:dyDescent="0.35">
      <c r="A532">
        <v>531</v>
      </c>
      <c r="B532">
        <v>1998</v>
      </c>
      <c r="C532" s="1">
        <v>35961</v>
      </c>
      <c r="D532" t="s">
        <v>45</v>
      </c>
      <c r="E532" t="s">
        <v>48</v>
      </c>
      <c r="F532">
        <v>1</v>
      </c>
      <c r="G532">
        <v>0</v>
      </c>
      <c r="H532" t="s">
        <v>67</v>
      </c>
      <c r="I532" t="b">
        <v>0</v>
      </c>
      <c r="J532">
        <f t="shared" si="16"/>
        <v>1</v>
      </c>
      <c r="K532" t="str">
        <f t="shared" si="17"/>
        <v>Home Win</v>
      </c>
    </row>
    <row r="533" spans="1:11" x14ac:dyDescent="0.35">
      <c r="A533">
        <v>532</v>
      </c>
      <c r="B533">
        <v>1998</v>
      </c>
      <c r="C533" s="1">
        <v>35961</v>
      </c>
      <c r="D533" t="s">
        <v>45</v>
      </c>
      <c r="E533" t="s">
        <v>13</v>
      </c>
      <c r="F533">
        <v>2</v>
      </c>
      <c r="G533">
        <v>0</v>
      </c>
      <c r="H533" t="s">
        <v>46</v>
      </c>
      <c r="I533" t="b">
        <v>0</v>
      </c>
      <c r="J533">
        <f t="shared" si="16"/>
        <v>2</v>
      </c>
      <c r="K533" t="str">
        <f t="shared" si="17"/>
        <v>Home Win</v>
      </c>
    </row>
    <row r="534" spans="1:11" x14ac:dyDescent="0.35">
      <c r="A534">
        <v>533</v>
      </c>
      <c r="B534">
        <v>1998</v>
      </c>
      <c r="C534" s="1">
        <v>35962</v>
      </c>
      <c r="D534" t="s">
        <v>45</v>
      </c>
      <c r="E534" t="s">
        <v>63</v>
      </c>
      <c r="F534">
        <v>1</v>
      </c>
      <c r="G534">
        <v>1</v>
      </c>
      <c r="H534" t="s">
        <v>60</v>
      </c>
      <c r="I534" t="b">
        <v>0</v>
      </c>
      <c r="J534">
        <f t="shared" si="16"/>
        <v>2</v>
      </c>
      <c r="K534" t="str">
        <f t="shared" si="17"/>
        <v>Draw</v>
      </c>
    </row>
    <row r="535" spans="1:11" x14ac:dyDescent="0.35">
      <c r="A535">
        <v>534</v>
      </c>
      <c r="B535">
        <v>1998</v>
      </c>
      <c r="C535" s="1">
        <v>35962</v>
      </c>
      <c r="D535" t="s">
        <v>45</v>
      </c>
      <c r="E535" t="s">
        <v>16</v>
      </c>
      <c r="F535">
        <v>3</v>
      </c>
      <c r="G535">
        <v>0</v>
      </c>
      <c r="H535" t="s">
        <v>71</v>
      </c>
      <c r="I535" t="b">
        <v>0</v>
      </c>
      <c r="J535">
        <f t="shared" si="16"/>
        <v>3</v>
      </c>
      <c r="K535" t="str">
        <f t="shared" si="17"/>
        <v>Home Win</v>
      </c>
    </row>
    <row r="536" spans="1:11" x14ac:dyDescent="0.35">
      <c r="A536">
        <v>535</v>
      </c>
      <c r="B536">
        <v>1998</v>
      </c>
      <c r="C536" s="1">
        <v>35963</v>
      </c>
      <c r="D536" t="s">
        <v>45</v>
      </c>
      <c r="E536" t="s">
        <v>21</v>
      </c>
      <c r="F536">
        <v>1</v>
      </c>
      <c r="G536">
        <v>1</v>
      </c>
      <c r="H536" t="s">
        <v>20</v>
      </c>
      <c r="I536" t="b">
        <v>0</v>
      </c>
      <c r="J536">
        <f t="shared" si="16"/>
        <v>2</v>
      </c>
      <c r="K536" t="str">
        <f t="shared" si="17"/>
        <v>Draw</v>
      </c>
    </row>
    <row r="537" spans="1:11" x14ac:dyDescent="0.35">
      <c r="A537">
        <v>536</v>
      </c>
      <c r="B537">
        <v>1998</v>
      </c>
      <c r="C537" s="1">
        <v>35963</v>
      </c>
      <c r="D537" t="s">
        <v>45</v>
      </c>
      <c r="E537" t="s">
        <v>11</v>
      </c>
      <c r="F537">
        <v>3</v>
      </c>
      <c r="G537">
        <v>0</v>
      </c>
      <c r="H537" t="s">
        <v>81</v>
      </c>
      <c r="I537" t="b">
        <v>0</v>
      </c>
      <c r="J537">
        <f t="shared" si="16"/>
        <v>3</v>
      </c>
      <c r="K537" t="str">
        <f t="shared" si="17"/>
        <v>Home Win</v>
      </c>
    </row>
    <row r="538" spans="1:11" x14ac:dyDescent="0.35">
      <c r="A538">
        <v>537</v>
      </c>
      <c r="B538">
        <v>1998</v>
      </c>
      <c r="C538" s="1">
        <v>35964</v>
      </c>
      <c r="D538" t="s">
        <v>45</v>
      </c>
      <c r="E538" t="s">
        <v>31</v>
      </c>
      <c r="F538">
        <v>1</v>
      </c>
      <c r="G538">
        <v>1</v>
      </c>
      <c r="H538" t="s">
        <v>88</v>
      </c>
      <c r="I538" t="b">
        <v>0</v>
      </c>
      <c r="J538">
        <f t="shared" si="16"/>
        <v>2</v>
      </c>
      <c r="K538" t="str">
        <f t="shared" si="17"/>
        <v>Draw</v>
      </c>
    </row>
    <row r="539" spans="1:11" x14ac:dyDescent="0.35">
      <c r="A539">
        <v>538</v>
      </c>
      <c r="B539">
        <v>1998</v>
      </c>
      <c r="C539" s="1">
        <v>35964</v>
      </c>
      <c r="D539" t="s">
        <v>45</v>
      </c>
      <c r="E539" t="s">
        <v>14</v>
      </c>
      <c r="F539">
        <v>4</v>
      </c>
      <c r="G539">
        <v>0</v>
      </c>
      <c r="H539" t="s">
        <v>92</v>
      </c>
      <c r="I539" t="b">
        <v>1</v>
      </c>
      <c r="J539">
        <f t="shared" si="16"/>
        <v>4</v>
      </c>
      <c r="K539" t="str">
        <f t="shared" si="17"/>
        <v>Home Win</v>
      </c>
    </row>
    <row r="540" spans="1:11" x14ac:dyDescent="0.35">
      <c r="A540">
        <v>539</v>
      </c>
      <c r="B540">
        <v>1998</v>
      </c>
      <c r="C540" s="1">
        <v>35965</v>
      </c>
      <c r="D540" t="s">
        <v>45</v>
      </c>
      <c r="E540" t="s">
        <v>94</v>
      </c>
      <c r="F540">
        <v>1</v>
      </c>
      <c r="G540">
        <v>0</v>
      </c>
      <c r="H540" t="s">
        <v>68</v>
      </c>
      <c r="I540" t="b">
        <v>0</v>
      </c>
      <c r="J540">
        <f t="shared" si="16"/>
        <v>1</v>
      </c>
      <c r="K540" t="str">
        <f t="shared" si="17"/>
        <v>Home Win</v>
      </c>
    </row>
    <row r="541" spans="1:11" x14ac:dyDescent="0.35">
      <c r="A541">
        <v>540</v>
      </c>
      <c r="B541">
        <v>1998</v>
      </c>
      <c r="C541" s="1">
        <v>35965</v>
      </c>
      <c r="D541" t="s">
        <v>45</v>
      </c>
      <c r="E541" t="s">
        <v>27</v>
      </c>
      <c r="F541">
        <v>0</v>
      </c>
      <c r="G541">
        <v>0</v>
      </c>
      <c r="H541" t="s">
        <v>51</v>
      </c>
      <c r="I541" t="b">
        <v>0</v>
      </c>
      <c r="J541">
        <f t="shared" si="16"/>
        <v>0</v>
      </c>
      <c r="K541" t="str">
        <f t="shared" si="17"/>
        <v>Draw</v>
      </c>
    </row>
    <row r="542" spans="1:11" x14ac:dyDescent="0.35">
      <c r="A542">
        <v>541</v>
      </c>
      <c r="B542">
        <v>1998</v>
      </c>
      <c r="C542" s="1">
        <v>35966</v>
      </c>
      <c r="D542" t="s">
        <v>45</v>
      </c>
      <c r="E542" t="s">
        <v>95</v>
      </c>
      <c r="F542">
        <v>0</v>
      </c>
      <c r="G542">
        <v>1</v>
      </c>
      <c r="H542" t="s">
        <v>28</v>
      </c>
      <c r="I542" t="b">
        <v>0</v>
      </c>
      <c r="J542">
        <f t="shared" si="16"/>
        <v>1</v>
      </c>
      <c r="K542" t="str">
        <f t="shared" si="17"/>
        <v>Away Win</v>
      </c>
    </row>
    <row r="543" spans="1:11" x14ac:dyDescent="0.35">
      <c r="A543">
        <v>542</v>
      </c>
      <c r="B543">
        <v>1998</v>
      </c>
      <c r="C543" s="1">
        <v>35966</v>
      </c>
      <c r="D543" t="s">
        <v>45</v>
      </c>
      <c r="E543" t="s">
        <v>33</v>
      </c>
      <c r="F543">
        <v>2</v>
      </c>
      <c r="G543">
        <v>2</v>
      </c>
      <c r="H543" t="s">
        <v>24</v>
      </c>
      <c r="I543" t="b">
        <v>0</v>
      </c>
      <c r="J543">
        <f t="shared" si="16"/>
        <v>4</v>
      </c>
      <c r="K543" t="str">
        <f t="shared" si="17"/>
        <v>Draw</v>
      </c>
    </row>
    <row r="544" spans="1:11" x14ac:dyDescent="0.35">
      <c r="A544">
        <v>543</v>
      </c>
      <c r="B544">
        <v>1998</v>
      </c>
      <c r="C544" s="1">
        <v>35966</v>
      </c>
      <c r="D544" t="s">
        <v>45</v>
      </c>
      <c r="E544" t="s">
        <v>25</v>
      </c>
      <c r="F544">
        <v>5</v>
      </c>
      <c r="G544">
        <v>0</v>
      </c>
      <c r="H544" t="s">
        <v>64</v>
      </c>
      <c r="I544" t="b">
        <v>0</v>
      </c>
      <c r="J544">
        <f t="shared" si="16"/>
        <v>5</v>
      </c>
      <c r="K544" t="str">
        <f t="shared" si="17"/>
        <v>Home Win</v>
      </c>
    </row>
    <row r="545" spans="1:11" x14ac:dyDescent="0.35">
      <c r="A545">
        <v>544</v>
      </c>
      <c r="B545">
        <v>1998</v>
      </c>
      <c r="C545" s="1">
        <v>35967</v>
      </c>
      <c r="D545" t="s">
        <v>45</v>
      </c>
      <c r="E545" t="s">
        <v>13</v>
      </c>
      <c r="F545">
        <v>2</v>
      </c>
      <c r="G545">
        <v>2</v>
      </c>
      <c r="H545" t="s">
        <v>47</v>
      </c>
      <c r="I545" t="b">
        <v>0</v>
      </c>
      <c r="J545">
        <f t="shared" si="16"/>
        <v>4</v>
      </c>
      <c r="K545" t="str">
        <f t="shared" si="17"/>
        <v>Draw</v>
      </c>
    </row>
    <row r="546" spans="1:11" x14ac:dyDescent="0.35">
      <c r="A546">
        <v>545</v>
      </c>
      <c r="B546">
        <v>1998</v>
      </c>
      <c r="C546" s="1">
        <v>35967</v>
      </c>
      <c r="D546" t="s">
        <v>45</v>
      </c>
      <c r="E546" t="s">
        <v>9</v>
      </c>
      <c r="F546">
        <v>5</v>
      </c>
      <c r="G546">
        <v>0</v>
      </c>
      <c r="H546" t="s">
        <v>96</v>
      </c>
      <c r="I546" t="b">
        <v>0</v>
      </c>
      <c r="J546">
        <f t="shared" si="16"/>
        <v>5</v>
      </c>
      <c r="K546" t="str">
        <f t="shared" si="17"/>
        <v>Home Win</v>
      </c>
    </row>
    <row r="547" spans="1:11" x14ac:dyDescent="0.35">
      <c r="A547">
        <v>546</v>
      </c>
      <c r="B547">
        <v>1998</v>
      </c>
      <c r="C547" s="1">
        <v>35967</v>
      </c>
      <c r="D547" t="s">
        <v>45</v>
      </c>
      <c r="E547" t="s">
        <v>46</v>
      </c>
      <c r="F547">
        <v>1</v>
      </c>
      <c r="G547">
        <v>2</v>
      </c>
      <c r="H547" t="s">
        <v>80</v>
      </c>
      <c r="I547" t="b">
        <v>0</v>
      </c>
      <c r="J547">
        <f t="shared" si="16"/>
        <v>3</v>
      </c>
      <c r="K547" t="str">
        <f t="shared" si="17"/>
        <v>Away Win</v>
      </c>
    </row>
    <row r="548" spans="1:11" x14ac:dyDescent="0.35">
      <c r="A548">
        <v>547</v>
      </c>
      <c r="B548">
        <v>1998</v>
      </c>
      <c r="C548" s="1">
        <v>35968</v>
      </c>
      <c r="D548" t="s">
        <v>45</v>
      </c>
      <c r="E548" t="s">
        <v>67</v>
      </c>
      <c r="F548">
        <v>1</v>
      </c>
      <c r="G548">
        <v>0</v>
      </c>
      <c r="H548" t="s">
        <v>79</v>
      </c>
      <c r="I548" t="b">
        <v>0</v>
      </c>
      <c r="J548">
        <f t="shared" si="16"/>
        <v>1</v>
      </c>
      <c r="K548" t="str">
        <f t="shared" si="17"/>
        <v>Home Win</v>
      </c>
    </row>
    <row r="549" spans="1:11" x14ac:dyDescent="0.35">
      <c r="A549">
        <v>548</v>
      </c>
      <c r="B549">
        <v>1998</v>
      </c>
      <c r="C549" s="1">
        <v>35968</v>
      </c>
      <c r="D549" t="s">
        <v>45</v>
      </c>
      <c r="E549" t="s">
        <v>48</v>
      </c>
      <c r="F549">
        <v>2</v>
      </c>
      <c r="G549">
        <v>1</v>
      </c>
      <c r="H549" t="s">
        <v>22</v>
      </c>
      <c r="I549" t="b">
        <v>0</v>
      </c>
      <c r="J549">
        <f t="shared" si="16"/>
        <v>3</v>
      </c>
      <c r="K549" t="str">
        <f t="shared" si="17"/>
        <v>Home Win</v>
      </c>
    </row>
    <row r="550" spans="1:11" x14ac:dyDescent="0.35">
      <c r="A550">
        <v>549</v>
      </c>
      <c r="B550">
        <v>1998</v>
      </c>
      <c r="C550" s="1">
        <v>35969</v>
      </c>
      <c r="D550" t="s">
        <v>45</v>
      </c>
      <c r="E550" t="s">
        <v>11</v>
      </c>
      <c r="F550">
        <v>2</v>
      </c>
      <c r="G550">
        <v>1</v>
      </c>
      <c r="H550" t="s">
        <v>20</v>
      </c>
      <c r="I550" t="b">
        <v>0</v>
      </c>
      <c r="J550">
        <f t="shared" si="16"/>
        <v>3</v>
      </c>
      <c r="K550" t="str">
        <f t="shared" si="17"/>
        <v>Home Win</v>
      </c>
    </row>
    <row r="551" spans="1:11" x14ac:dyDescent="0.35">
      <c r="A551">
        <v>550</v>
      </c>
      <c r="B551">
        <v>1998</v>
      </c>
      <c r="C551" s="1">
        <v>35969</v>
      </c>
      <c r="D551" t="s">
        <v>45</v>
      </c>
      <c r="E551" t="s">
        <v>21</v>
      </c>
      <c r="F551">
        <v>1</v>
      </c>
      <c r="G551">
        <v>1</v>
      </c>
      <c r="H551" t="s">
        <v>81</v>
      </c>
      <c r="I551" t="b">
        <v>0</v>
      </c>
      <c r="J551">
        <f t="shared" si="16"/>
        <v>2</v>
      </c>
      <c r="K551" t="str">
        <f t="shared" si="17"/>
        <v>Draw</v>
      </c>
    </row>
    <row r="552" spans="1:11" x14ac:dyDescent="0.35">
      <c r="A552">
        <v>551</v>
      </c>
      <c r="B552">
        <v>1998</v>
      </c>
      <c r="C552" s="1">
        <v>35969</v>
      </c>
      <c r="D552" t="s">
        <v>45</v>
      </c>
      <c r="E552" t="s">
        <v>63</v>
      </c>
      <c r="F552">
        <v>0</v>
      </c>
      <c r="G552">
        <v>3</v>
      </c>
      <c r="H552" t="s">
        <v>71</v>
      </c>
      <c r="I552" t="b">
        <v>0</v>
      </c>
      <c r="J552">
        <f t="shared" si="16"/>
        <v>3</v>
      </c>
      <c r="K552" t="str">
        <f t="shared" si="17"/>
        <v>Away Win</v>
      </c>
    </row>
    <row r="553" spans="1:11" x14ac:dyDescent="0.35">
      <c r="A553">
        <v>552</v>
      </c>
      <c r="B553">
        <v>1998</v>
      </c>
      <c r="C553" s="1">
        <v>35969</v>
      </c>
      <c r="D553" t="s">
        <v>45</v>
      </c>
      <c r="E553" t="s">
        <v>16</v>
      </c>
      <c r="F553">
        <v>1</v>
      </c>
      <c r="G553">
        <v>2</v>
      </c>
      <c r="H553" t="s">
        <v>60</v>
      </c>
      <c r="I553" t="b">
        <v>0</v>
      </c>
      <c r="J553">
        <f t="shared" si="16"/>
        <v>3</v>
      </c>
      <c r="K553" t="str">
        <f t="shared" si="17"/>
        <v>Away Win</v>
      </c>
    </row>
    <row r="554" spans="1:11" x14ac:dyDescent="0.35">
      <c r="A554">
        <v>553</v>
      </c>
      <c r="B554">
        <v>1998</v>
      </c>
      <c r="C554" s="1">
        <v>35970</v>
      </c>
      <c r="D554" t="s">
        <v>45</v>
      </c>
      <c r="E554" t="s">
        <v>14</v>
      </c>
      <c r="F554">
        <v>2</v>
      </c>
      <c r="G554">
        <v>1</v>
      </c>
      <c r="H554" t="s">
        <v>88</v>
      </c>
      <c r="I554" t="b">
        <v>1</v>
      </c>
      <c r="J554">
        <f t="shared" si="16"/>
        <v>3</v>
      </c>
      <c r="K554" t="str">
        <f t="shared" si="17"/>
        <v>Home Win</v>
      </c>
    </row>
    <row r="555" spans="1:11" x14ac:dyDescent="0.35">
      <c r="A555">
        <v>554</v>
      </c>
      <c r="B555">
        <v>1998</v>
      </c>
      <c r="C555" s="1">
        <v>35970</v>
      </c>
      <c r="D555" t="s">
        <v>45</v>
      </c>
      <c r="E555" t="s">
        <v>31</v>
      </c>
      <c r="F555">
        <v>2</v>
      </c>
      <c r="G555">
        <v>2</v>
      </c>
      <c r="H555" t="s">
        <v>92</v>
      </c>
      <c r="I555" t="b">
        <v>0</v>
      </c>
      <c r="J555">
        <f t="shared" si="16"/>
        <v>4</v>
      </c>
      <c r="K555" t="str">
        <f t="shared" si="17"/>
        <v>Draw</v>
      </c>
    </row>
    <row r="556" spans="1:11" x14ac:dyDescent="0.35">
      <c r="A556">
        <v>555</v>
      </c>
      <c r="B556">
        <v>1998</v>
      </c>
      <c r="C556" s="1">
        <v>35970</v>
      </c>
      <c r="D556" t="s">
        <v>45</v>
      </c>
      <c r="E556" t="s">
        <v>27</v>
      </c>
      <c r="F556">
        <v>6</v>
      </c>
      <c r="G556">
        <v>1</v>
      </c>
      <c r="H556" t="s">
        <v>68</v>
      </c>
      <c r="I556" t="b">
        <v>0</v>
      </c>
      <c r="J556">
        <f t="shared" si="16"/>
        <v>7</v>
      </c>
      <c r="K556" t="str">
        <f t="shared" si="17"/>
        <v>Home Win</v>
      </c>
    </row>
    <row r="557" spans="1:11" x14ac:dyDescent="0.35">
      <c r="A557">
        <v>556</v>
      </c>
      <c r="B557">
        <v>1998</v>
      </c>
      <c r="C557" s="1">
        <v>35970</v>
      </c>
      <c r="D557" t="s">
        <v>45</v>
      </c>
      <c r="E557" t="s">
        <v>94</v>
      </c>
      <c r="F557">
        <v>1</v>
      </c>
      <c r="G557">
        <v>3</v>
      </c>
      <c r="H557" t="s">
        <v>51</v>
      </c>
      <c r="I557" t="b">
        <v>0</v>
      </c>
      <c r="J557">
        <f t="shared" si="16"/>
        <v>4</v>
      </c>
      <c r="K557" t="str">
        <f t="shared" si="17"/>
        <v>Away Win</v>
      </c>
    </row>
    <row r="558" spans="1:11" x14ac:dyDescent="0.35">
      <c r="A558">
        <v>557</v>
      </c>
      <c r="B558">
        <v>1998</v>
      </c>
      <c r="C558" s="1">
        <v>35971</v>
      </c>
      <c r="D558" t="s">
        <v>45</v>
      </c>
      <c r="E558" t="s">
        <v>33</v>
      </c>
      <c r="F558">
        <v>1</v>
      </c>
      <c r="G558">
        <v>1</v>
      </c>
      <c r="H558" t="s">
        <v>64</v>
      </c>
      <c r="I558" t="b">
        <v>0</v>
      </c>
      <c r="J558">
        <f t="shared" si="16"/>
        <v>2</v>
      </c>
      <c r="K558" t="str">
        <f t="shared" si="17"/>
        <v>Draw</v>
      </c>
    </row>
    <row r="559" spans="1:11" x14ac:dyDescent="0.35">
      <c r="A559">
        <v>558</v>
      </c>
      <c r="B559">
        <v>1998</v>
      </c>
      <c r="C559" s="1">
        <v>35971</v>
      </c>
      <c r="D559" t="s">
        <v>45</v>
      </c>
      <c r="E559" t="s">
        <v>25</v>
      </c>
      <c r="F559">
        <v>2</v>
      </c>
      <c r="G559">
        <v>2</v>
      </c>
      <c r="H559" t="s">
        <v>24</v>
      </c>
      <c r="I559" t="b">
        <v>0</v>
      </c>
      <c r="J559">
        <f t="shared" si="16"/>
        <v>4</v>
      </c>
      <c r="K559" t="str">
        <f t="shared" si="17"/>
        <v>Draw</v>
      </c>
    </row>
    <row r="560" spans="1:11" x14ac:dyDescent="0.35">
      <c r="A560">
        <v>559</v>
      </c>
      <c r="B560">
        <v>1998</v>
      </c>
      <c r="C560" s="1">
        <v>35971</v>
      </c>
      <c r="D560" t="s">
        <v>45</v>
      </c>
      <c r="E560" t="s">
        <v>13</v>
      </c>
      <c r="F560">
        <v>2</v>
      </c>
      <c r="G560">
        <v>0</v>
      </c>
      <c r="H560" t="s">
        <v>80</v>
      </c>
      <c r="I560" t="b">
        <v>0</v>
      </c>
      <c r="J560">
        <f t="shared" si="16"/>
        <v>2</v>
      </c>
      <c r="K560" t="str">
        <f t="shared" si="17"/>
        <v>Home Win</v>
      </c>
    </row>
    <row r="561" spans="1:11" x14ac:dyDescent="0.35">
      <c r="A561">
        <v>560</v>
      </c>
      <c r="B561">
        <v>1998</v>
      </c>
      <c r="C561" s="1">
        <v>35971</v>
      </c>
      <c r="D561" t="s">
        <v>45</v>
      </c>
      <c r="E561" t="s">
        <v>46</v>
      </c>
      <c r="F561">
        <v>0</v>
      </c>
      <c r="G561">
        <v>1</v>
      </c>
      <c r="H561" t="s">
        <v>47</v>
      </c>
      <c r="I561" t="b">
        <v>0</v>
      </c>
      <c r="J561">
        <f t="shared" si="16"/>
        <v>1</v>
      </c>
      <c r="K561" t="str">
        <f t="shared" si="17"/>
        <v>Away Win</v>
      </c>
    </row>
    <row r="562" spans="1:11" x14ac:dyDescent="0.35">
      <c r="A562">
        <v>561</v>
      </c>
      <c r="B562">
        <v>1998</v>
      </c>
      <c r="C562" s="1">
        <v>35972</v>
      </c>
      <c r="D562" t="s">
        <v>45</v>
      </c>
      <c r="E562" t="s">
        <v>95</v>
      </c>
      <c r="F562">
        <v>1</v>
      </c>
      <c r="G562">
        <v>2</v>
      </c>
      <c r="H562" t="s">
        <v>96</v>
      </c>
      <c r="I562" t="b">
        <v>0</v>
      </c>
      <c r="J562">
        <f t="shared" si="16"/>
        <v>3</v>
      </c>
      <c r="K562" t="str">
        <f t="shared" si="17"/>
        <v>Away Win</v>
      </c>
    </row>
    <row r="563" spans="1:11" x14ac:dyDescent="0.35">
      <c r="A563">
        <v>562</v>
      </c>
      <c r="B563">
        <v>1998</v>
      </c>
      <c r="C563" s="1">
        <v>35972</v>
      </c>
      <c r="D563" t="s">
        <v>45</v>
      </c>
      <c r="E563" t="s">
        <v>9</v>
      </c>
      <c r="F563">
        <v>1</v>
      </c>
      <c r="G563">
        <v>0</v>
      </c>
      <c r="H563" t="s">
        <v>28</v>
      </c>
      <c r="I563" t="b">
        <v>0</v>
      </c>
      <c r="J563">
        <f t="shared" si="16"/>
        <v>1</v>
      </c>
      <c r="K563" t="str">
        <f t="shared" si="17"/>
        <v>Home Win</v>
      </c>
    </row>
    <row r="564" spans="1:11" x14ac:dyDescent="0.35">
      <c r="A564">
        <v>563</v>
      </c>
      <c r="B564">
        <v>1998</v>
      </c>
      <c r="C564" s="1">
        <v>35972</v>
      </c>
      <c r="D564" t="s">
        <v>45</v>
      </c>
      <c r="E564" t="s">
        <v>48</v>
      </c>
      <c r="F564">
        <v>1</v>
      </c>
      <c r="G564">
        <v>1</v>
      </c>
      <c r="H564" t="s">
        <v>79</v>
      </c>
      <c r="I564" t="b">
        <v>0</v>
      </c>
      <c r="J564">
        <f t="shared" si="16"/>
        <v>2</v>
      </c>
      <c r="K564" t="str">
        <f t="shared" si="17"/>
        <v>Draw</v>
      </c>
    </row>
    <row r="565" spans="1:11" x14ac:dyDescent="0.35">
      <c r="A565">
        <v>564</v>
      </c>
      <c r="B565">
        <v>1998</v>
      </c>
      <c r="C565" s="1">
        <v>35972</v>
      </c>
      <c r="D565" t="s">
        <v>45</v>
      </c>
      <c r="E565" t="s">
        <v>67</v>
      </c>
      <c r="F565">
        <v>0</v>
      </c>
      <c r="G565">
        <v>2</v>
      </c>
      <c r="H565" t="s">
        <v>22</v>
      </c>
      <c r="I565" t="b">
        <v>0</v>
      </c>
      <c r="J565">
        <f t="shared" si="16"/>
        <v>2</v>
      </c>
      <c r="K565" t="str">
        <f t="shared" si="17"/>
        <v>Away Win</v>
      </c>
    </row>
    <row r="566" spans="1:11" x14ac:dyDescent="0.35">
      <c r="A566">
        <v>565</v>
      </c>
      <c r="B566">
        <v>1998</v>
      </c>
      <c r="C566" s="1">
        <v>35973</v>
      </c>
      <c r="D566" t="s">
        <v>54</v>
      </c>
      <c r="E566" t="s">
        <v>11</v>
      </c>
      <c r="F566">
        <v>1</v>
      </c>
      <c r="G566">
        <v>0</v>
      </c>
      <c r="H566" t="s">
        <v>60</v>
      </c>
      <c r="I566" t="b">
        <v>0</v>
      </c>
      <c r="J566">
        <f t="shared" si="16"/>
        <v>1</v>
      </c>
      <c r="K566" t="str">
        <f t="shared" si="17"/>
        <v>Home Win</v>
      </c>
    </row>
    <row r="567" spans="1:11" x14ac:dyDescent="0.35">
      <c r="A567">
        <v>566</v>
      </c>
      <c r="B567">
        <v>1998</v>
      </c>
      <c r="C567" s="1">
        <v>35973</v>
      </c>
      <c r="D567" t="s">
        <v>54</v>
      </c>
      <c r="E567" t="s">
        <v>16</v>
      </c>
      <c r="F567">
        <v>4</v>
      </c>
      <c r="G567">
        <v>1</v>
      </c>
      <c r="H567" t="s">
        <v>21</v>
      </c>
      <c r="I567" t="b">
        <v>0</v>
      </c>
      <c r="J567">
        <f t="shared" si="16"/>
        <v>5</v>
      </c>
      <c r="K567" t="str">
        <f t="shared" si="17"/>
        <v>Home Win</v>
      </c>
    </row>
    <row r="568" spans="1:11" x14ac:dyDescent="0.35">
      <c r="A568">
        <v>567</v>
      </c>
      <c r="B568">
        <v>1998</v>
      </c>
      <c r="C568" s="1">
        <v>35974</v>
      </c>
      <c r="D568" t="s">
        <v>54</v>
      </c>
      <c r="E568" t="s">
        <v>14</v>
      </c>
      <c r="F568">
        <v>1</v>
      </c>
      <c r="G568">
        <v>0</v>
      </c>
      <c r="H568" t="s">
        <v>51</v>
      </c>
      <c r="I568" t="b">
        <v>1</v>
      </c>
      <c r="J568">
        <f t="shared" si="16"/>
        <v>1</v>
      </c>
      <c r="K568" t="str">
        <f t="shared" si="17"/>
        <v>Home Win</v>
      </c>
    </row>
    <row r="569" spans="1:11" x14ac:dyDescent="0.35">
      <c r="A569">
        <v>568</v>
      </c>
      <c r="B569">
        <v>1998</v>
      </c>
      <c r="C569" s="1">
        <v>35974</v>
      </c>
      <c r="D569" t="s">
        <v>54</v>
      </c>
      <c r="E569" t="s">
        <v>94</v>
      </c>
      <c r="F569">
        <v>1</v>
      </c>
      <c r="G569">
        <v>4</v>
      </c>
      <c r="H569" t="s">
        <v>88</v>
      </c>
      <c r="I569" t="b">
        <v>0</v>
      </c>
      <c r="J569">
        <f t="shared" si="16"/>
        <v>5</v>
      </c>
      <c r="K569" t="str">
        <f t="shared" si="17"/>
        <v>Away Win</v>
      </c>
    </row>
    <row r="570" spans="1:11" x14ac:dyDescent="0.35">
      <c r="A570">
        <v>569</v>
      </c>
      <c r="B570">
        <v>1998</v>
      </c>
      <c r="C570" s="1">
        <v>35975</v>
      </c>
      <c r="D570" t="s">
        <v>54</v>
      </c>
      <c r="E570" t="s">
        <v>13</v>
      </c>
      <c r="F570">
        <v>2</v>
      </c>
      <c r="G570">
        <v>1</v>
      </c>
      <c r="H570" t="s">
        <v>24</v>
      </c>
      <c r="I570" t="b">
        <v>0</v>
      </c>
      <c r="J570">
        <f t="shared" si="16"/>
        <v>3</v>
      </c>
      <c r="K570" t="str">
        <f t="shared" si="17"/>
        <v>Home Win</v>
      </c>
    </row>
    <row r="571" spans="1:11" x14ac:dyDescent="0.35">
      <c r="A571">
        <v>570</v>
      </c>
      <c r="B571">
        <v>1998</v>
      </c>
      <c r="C571" s="1">
        <v>35975</v>
      </c>
      <c r="D571" t="s">
        <v>54</v>
      </c>
      <c r="E571" t="s">
        <v>25</v>
      </c>
      <c r="F571">
        <v>2</v>
      </c>
      <c r="G571">
        <v>1</v>
      </c>
      <c r="H571" t="s">
        <v>47</v>
      </c>
      <c r="I571" t="b">
        <v>0</v>
      </c>
      <c r="J571">
        <f t="shared" si="16"/>
        <v>3</v>
      </c>
      <c r="K571" t="str">
        <f t="shared" si="17"/>
        <v>Home Win</v>
      </c>
    </row>
    <row r="572" spans="1:11" x14ac:dyDescent="0.35">
      <c r="A572">
        <v>571</v>
      </c>
      <c r="B572">
        <v>1998</v>
      </c>
      <c r="C572" s="1">
        <v>35976</v>
      </c>
      <c r="D572" t="s">
        <v>54</v>
      </c>
      <c r="E572" t="s">
        <v>48</v>
      </c>
      <c r="F572">
        <v>0</v>
      </c>
      <c r="G572">
        <v>1</v>
      </c>
      <c r="H572" t="s">
        <v>28</v>
      </c>
      <c r="I572" t="b">
        <v>0</v>
      </c>
      <c r="J572">
        <f t="shared" si="16"/>
        <v>1</v>
      </c>
      <c r="K572" t="str">
        <f t="shared" si="17"/>
        <v>Away Win</v>
      </c>
    </row>
    <row r="573" spans="1:11" x14ac:dyDescent="0.35">
      <c r="A573">
        <v>572</v>
      </c>
      <c r="B573">
        <v>1998</v>
      </c>
      <c r="C573" s="1">
        <v>35976</v>
      </c>
      <c r="D573" t="s">
        <v>54</v>
      </c>
      <c r="E573" t="s">
        <v>9</v>
      </c>
      <c r="F573">
        <v>2</v>
      </c>
      <c r="G573">
        <v>2</v>
      </c>
      <c r="H573" t="s">
        <v>22</v>
      </c>
      <c r="I573" t="b">
        <v>0</v>
      </c>
      <c r="J573">
        <f t="shared" si="16"/>
        <v>4</v>
      </c>
      <c r="K573" t="str">
        <f t="shared" si="17"/>
        <v>Draw</v>
      </c>
    </row>
    <row r="574" spans="1:11" x14ac:dyDescent="0.35">
      <c r="A574">
        <v>573</v>
      </c>
      <c r="B574">
        <v>1998</v>
      </c>
      <c r="C574" s="1">
        <v>35979</v>
      </c>
      <c r="D574" t="s">
        <v>56</v>
      </c>
      <c r="E574" t="s">
        <v>14</v>
      </c>
      <c r="F574">
        <v>0</v>
      </c>
      <c r="G574">
        <v>0</v>
      </c>
      <c r="H574" t="s">
        <v>11</v>
      </c>
      <c r="I574" t="b">
        <v>1</v>
      </c>
      <c r="J574">
        <f t="shared" si="16"/>
        <v>0</v>
      </c>
      <c r="K574" t="str">
        <f t="shared" si="17"/>
        <v>Draw</v>
      </c>
    </row>
    <row r="575" spans="1:11" x14ac:dyDescent="0.35">
      <c r="A575">
        <v>574</v>
      </c>
      <c r="B575">
        <v>1998</v>
      </c>
      <c r="C575" s="1">
        <v>35979</v>
      </c>
      <c r="D575" t="s">
        <v>56</v>
      </c>
      <c r="E575" t="s">
        <v>16</v>
      </c>
      <c r="F575">
        <v>3</v>
      </c>
      <c r="G575">
        <v>2</v>
      </c>
      <c r="H575" t="s">
        <v>88</v>
      </c>
      <c r="I575" t="b">
        <v>0</v>
      </c>
      <c r="J575">
        <f t="shared" si="16"/>
        <v>5</v>
      </c>
      <c r="K575" t="str">
        <f t="shared" si="17"/>
        <v>Home Win</v>
      </c>
    </row>
    <row r="576" spans="1:11" x14ac:dyDescent="0.35">
      <c r="A576">
        <v>575</v>
      </c>
      <c r="B576">
        <v>1998</v>
      </c>
      <c r="C576" s="1">
        <v>35980</v>
      </c>
      <c r="D576" t="s">
        <v>56</v>
      </c>
      <c r="E576" t="s">
        <v>25</v>
      </c>
      <c r="F576">
        <v>2</v>
      </c>
      <c r="G576">
        <v>1</v>
      </c>
      <c r="H576" t="s">
        <v>9</v>
      </c>
      <c r="I576" t="b">
        <v>0</v>
      </c>
      <c r="J576">
        <f t="shared" si="16"/>
        <v>3</v>
      </c>
      <c r="K576" t="str">
        <f t="shared" si="17"/>
        <v>Home Win</v>
      </c>
    </row>
    <row r="577" spans="1:11" x14ac:dyDescent="0.35">
      <c r="A577">
        <v>576</v>
      </c>
      <c r="B577">
        <v>1998</v>
      </c>
      <c r="C577" s="1">
        <v>35980</v>
      </c>
      <c r="D577" t="s">
        <v>56</v>
      </c>
      <c r="E577" t="s">
        <v>13</v>
      </c>
      <c r="F577">
        <v>0</v>
      </c>
      <c r="G577">
        <v>3</v>
      </c>
      <c r="H577" t="s">
        <v>28</v>
      </c>
      <c r="I577" t="b">
        <v>0</v>
      </c>
      <c r="J577">
        <f t="shared" si="16"/>
        <v>3</v>
      </c>
      <c r="K577" t="str">
        <f t="shared" si="17"/>
        <v>Away Win</v>
      </c>
    </row>
    <row r="578" spans="1:11" x14ac:dyDescent="0.35">
      <c r="A578">
        <v>577</v>
      </c>
      <c r="B578">
        <v>1998</v>
      </c>
      <c r="C578" s="1">
        <v>35983</v>
      </c>
      <c r="D578" t="s">
        <v>52</v>
      </c>
      <c r="E578" t="s">
        <v>16</v>
      </c>
      <c r="F578">
        <v>1</v>
      </c>
      <c r="G578">
        <v>1</v>
      </c>
      <c r="H578" t="s">
        <v>25</v>
      </c>
      <c r="I578" t="b">
        <v>0</v>
      </c>
      <c r="J578">
        <f t="shared" si="16"/>
        <v>2</v>
      </c>
      <c r="K578" t="str">
        <f t="shared" si="17"/>
        <v>Draw</v>
      </c>
    </row>
    <row r="579" spans="1:11" x14ac:dyDescent="0.35">
      <c r="A579">
        <v>578</v>
      </c>
      <c r="B579">
        <v>1998</v>
      </c>
      <c r="C579" s="1">
        <v>35984</v>
      </c>
      <c r="D579" t="s">
        <v>52</v>
      </c>
      <c r="E579" t="s">
        <v>14</v>
      </c>
      <c r="F579">
        <v>2</v>
      </c>
      <c r="G579">
        <v>1</v>
      </c>
      <c r="H579" t="s">
        <v>28</v>
      </c>
      <c r="I579" t="b">
        <v>1</v>
      </c>
      <c r="J579">
        <f t="shared" ref="J579:J642" si="18">F:F+G:G</f>
        <v>3</v>
      </c>
      <c r="K579" t="str">
        <f t="shared" ref="K579:K642" si="19">IF(F579&gt;G579,"Home Win",IF(F579&lt;G579,"Away Win","Draw"))</f>
        <v>Home Win</v>
      </c>
    </row>
    <row r="580" spans="1:11" x14ac:dyDescent="0.35">
      <c r="A580">
        <v>579</v>
      </c>
      <c r="B580">
        <v>1998</v>
      </c>
      <c r="C580" s="1">
        <v>35987</v>
      </c>
      <c r="D580" t="s">
        <v>57</v>
      </c>
      <c r="E580" t="s">
        <v>25</v>
      </c>
      <c r="F580">
        <v>1</v>
      </c>
      <c r="G580">
        <v>2</v>
      </c>
      <c r="H580" t="s">
        <v>28</v>
      </c>
      <c r="I580" t="b">
        <v>0</v>
      </c>
      <c r="J580">
        <f t="shared" si="18"/>
        <v>3</v>
      </c>
      <c r="K580" t="str">
        <f t="shared" si="19"/>
        <v>Away Win</v>
      </c>
    </row>
    <row r="581" spans="1:11" x14ac:dyDescent="0.35">
      <c r="A581">
        <v>580</v>
      </c>
      <c r="B581">
        <v>1998</v>
      </c>
      <c r="C581" s="1">
        <v>35988</v>
      </c>
      <c r="D581" t="s">
        <v>53</v>
      </c>
      <c r="E581" t="s">
        <v>14</v>
      </c>
      <c r="F581">
        <v>3</v>
      </c>
      <c r="G581">
        <v>0</v>
      </c>
      <c r="H581" t="s">
        <v>16</v>
      </c>
      <c r="I581" t="b">
        <v>1</v>
      </c>
      <c r="J581">
        <f t="shared" si="18"/>
        <v>3</v>
      </c>
      <c r="K581" t="str">
        <f t="shared" si="19"/>
        <v>Home Win</v>
      </c>
    </row>
    <row r="582" spans="1:11" x14ac:dyDescent="0.35">
      <c r="A582">
        <v>581</v>
      </c>
      <c r="B582">
        <v>2002</v>
      </c>
      <c r="C582" s="1">
        <v>37407</v>
      </c>
      <c r="D582" t="s">
        <v>45</v>
      </c>
      <c r="E582" t="s">
        <v>14</v>
      </c>
      <c r="F582">
        <v>0</v>
      </c>
      <c r="G582">
        <v>1</v>
      </c>
      <c r="H582" t="s">
        <v>97</v>
      </c>
      <c r="I582" t="b">
        <v>0</v>
      </c>
      <c r="J582">
        <f t="shared" si="18"/>
        <v>1</v>
      </c>
      <c r="K582" t="str">
        <f t="shared" si="19"/>
        <v>Away Win</v>
      </c>
    </row>
    <row r="583" spans="1:11" x14ac:dyDescent="0.35">
      <c r="A583">
        <v>582</v>
      </c>
      <c r="B583">
        <v>2002</v>
      </c>
      <c r="C583" s="1">
        <v>37408</v>
      </c>
      <c r="D583" t="s">
        <v>45</v>
      </c>
      <c r="E583" t="s">
        <v>91</v>
      </c>
      <c r="F583">
        <v>1</v>
      </c>
      <c r="G583">
        <v>1</v>
      </c>
      <c r="H583" t="s">
        <v>81</v>
      </c>
      <c r="I583" t="b">
        <v>0</v>
      </c>
      <c r="J583">
        <f t="shared" si="18"/>
        <v>2</v>
      </c>
      <c r="K583" t="str">
        <f t="shared" si="19"/>
        <v>Draw</v>
      </c>
    </row>
    <row r="584" spans="1:11" x14ac:dyDescent="0.35">
      <c r="A584">
        <v>583</v>
      </c>
      <c r="B584">
        <v>2002</v>
      </c>
      <c r="C584" s="1">
        <v>37408</v>
      </c>
      <c r="D584" t="s">
        <v>45</v>
      </c>
      <c r="E584" t="s">
        <v>8</v>
      </c>
      <c r="F584">
        <v>1</v>
      </c>
      <c r="G584">
        <v>2</v>
      </c>
      <c r="H584" t="s">
        <v>88</v>
      </c>
      <c r="I584" t="b">
        <v>0</v>
      </c>
      <c r="J584">
        <f t="shared" si="18"/>
        <v>3</v>
      </c>
      <c r="K584" t="str">
        <f t="shared" si="19"/>
        <v>Away Win</v>
      </c>
    </row>
    <row r="585" spans="1:11" x14ac:dyDescent="0.35">
      <c r="A585">
        <v>584</v>
      </c>
      <c r="B585">
        <v>2002</v>
      </c>
      <c r="C585" s="1">
        <v>37408</v>
      </c>
      <c r="D585" t="s">
        <v>45</v>
      </c>
      <c r="E585" t="s">
        <v>13</v>
      </c>
      <c r="F585">
        <v>8</v>
      </c>
      <c r="G585">
        <v>0</v>
      </c>
      <c r="H585" t="s">
        <v>92</v>
      </c>
      <c r="I585" t="b">
        <v>0</v>
      </c>
      <c r="J585">
        <f t="shared" si="18"/>
        <v>8</v>
      </c>
      <c r="K585" t="str">
        <f t="shared" si="19"/>
        <v>Home Win</v>
      </c>
    </row>
    <row r="586" spans="1:11" x14ac:dyDescent="0.35">
      <c r="A586">
        <v>585</v>
      </c>
      <c r="B586">
        <v>2002</v>
      </c>
      <c r="C586" s="1">
        <v>37409</v>
      </c>
      <c r="D586" t="s">
        <v>45</v>
      </c>
      <c r="E586" t="s">
        <v>9</v>
      </c>
      <c r="F586">
        <v>1</v>
      </c>
      <c r="G586">
        <v>0</v>
      </c>
      <c r="H586" t="s">
        <v>94</v>
      </c>
      <c r="I586" t="b">
        <v>0</v>
      </c>
      <c r="J586">
        <f t="shared" si="18"/>
        <v>1</v>
      </c>
      <c r="K586" t="str">
        <f t="shared" si="19"/>
        <v>Home Win</v>
      </c>
    </row>
    <row r="587" spans="1:11" x14ac:dyDescent="0.35">
      <c r="A587">
        <v>586</v>
      </c>
      <c r="B587">
        <v>2002</v>
      </c>
      <c r="C587" s="1">
        <v>37409</v>
      </c>
      <c r="D587" t="s">
        <v>45</v>
      </c>
      <c r="E587" t="s">
        <v>51</v>
      </c>
      <c r="F587">
        <v>2</v>
      </c>
      <c r="G587">
        <v>2</v>
      </c>
      <c r="H587" t="s">
        <v>31</v>
      </c>
      <c r="I587" t="b">
        <v>0</v>
      </c>
      <c r="J587">
        <f t="shared" si="18"/>
        <v>4</v>
      </c>
      <c r="K587" t="str">
        <f t="shared" si="19"/>
        <v>Draw</v>
      </c>
    </row>
    <row r="588" spans="1:11" x14ac:dyDescent="0.35">
      <c r="A588">
        <v>587</v>
      </c>
      <c r="B588">
        <v>2002</v>
      </c>
      <c r="C588" s="1">
        <v>37409</v>
      </c>
      <c r="D588" t="s">
        <v>45</v>
      </c>
      <c r="E588" t="s">
        <v>22</v>
      </c>
      <c r="F588">
        <v>1</v>
      </c>
      <c r="G588">
        <v>1</v>
      </c>
      <c r="H588" t="s">
        <v>17</v>
      </c>
      <c r="I588" t="b">
        <v>0</v>
      </c>
      <c r="J588">
        <f t="shared" si="18"/>
        <v>2</v>
      </c>
      <c r="K588" t="str">
        <f t="shared" si="19"/>
        <v>Draw</v>
      </c>
    </row>
    <row r="589" spans="1:11" x14ac:dyDescent="0.35">
      <c r="A589">
        <v>588</v>
      </c>
      <c r="B589">
        <v>2002</v>
      </c>
      <c r="C589" s="1">
        <v>37409</v>
      </c>
      <c r="D589" t="s">
        <v>45</v>
      </c>
      <c r="E589" t="s">
        <v>27</v>
      </c>
      <c r="F589">
        <v>3</v>
      </c>
      <c r="G589">
        <v>1</v>
      </c>
      <c r="H589" t="s">
        <v>98</v>
      </c>
      <c r="I589" t="b">
        <v>0</v>
      </c>
      <c r="J589">
        <f t="shared" si="18"/>
        <v>4</v>
      </c>
      <c r="K589" t="str">
        <f t="shared" si="19"/>
        <v>Home Win</v>
      </c>
    </row>
    <row r="590" spans="1:11" x14ac:dyDescent="0.35">
      <c r="A590">
        <v>589</v>
      </c>
      <c r="B590">
        <v>2002</v>
      </c>
      <c r="C590" s="1">
        <v>37410</v>
      </c>
      <c r="D590" t="s">
        <v>45</v>
      </c>
      <c r="E590" t="s">
        <v>28</v>
      </c>
      <c r="F590">
        <v>0</v>
      </c>
      <c r="G590">
        <v>1</v>
      </c>
      <c r="H590" t="s">
        <v>24</v>
      </c>
      <c r="I590" t="b">
        <v>0</v>
      </c>
      <c r="J590">
        <f t="shared" si="18"/>
        <v>1</v>
      </c>
      <c r="K590" t="str">
        <f t="shared" si="19"/>
        <v>Away Win</v>
      </c>
    </row>
    <row r="591" spans="1:11" x14ac:dyDescent="0.35">
      <c r="A591">
        <v>590</v>
      </c>
      <c r="B591">
        <v>2002</v>
      </c>
      <c r="C591" s="1">
        <v>37410</v>
      </c>
      <c r="D591" t="s">
        <v>45</v>
      </c>
      <c r="E591" t="s">
        <v>16</v>
      </c>
      <c r="F591">
        <v>2</v>
      </c>
      <c r="G591">
        <v>1</v>
      </c>
      <c r="H591" t="s">
        <v>30</v>
      </c>
      <c r="I591" t="b">
        <v>0</v>
      </c>
      <c r="J591">
        <f t="shared" si="18"/>
        <v>3</v>
      </c>
      <c r="K591" t="str">
        <f t="shared" si="19"/>
        <v>Home Win</v>
      </c>
    </row>
    <row r="592" spans="1:11" x14ac:dyDescent="0.35">
      <c r="A592">
        <v>591</v>
      </c>
      <c r="B592">
        <v>2002</v>
      </c>
      <c r="C592" s="1">
        <v>37410</v>
      </c>
      <c r="D592" t="s">
        <v>45</v>
      </c>
      <c r="E592" t="s">
        <v>11</v>
      </c>
      <c r="F592">
        <v>2</v>
      </c>
      <c r="G592">
        <v>0</v>
      </c>
      <c r="H592" t="s">
        <v>99</v>
      </c>
      <c r="I592" t="b">
        <v>0</v>
      </c>
      <c r="J592">
        <f t="shared" si="18"/>
        <v>2</v>
      </c>
      <c r="K592" t="str">
        <f t="shared" si="19"/>
        <v>Home Win</v>
      </c>
    </row>
    <row r="593" spans="1:11" x14ac:dyDescent="0.35">
      <c r="A593">
        <v>592</v>
      </c>
      <c r="B593">
        <v>2002</v>
      </c>
      <c r="C593" s="1">
        <v>37411</v>
      </c>
      <c r="D593" t="s">
        <v>45</v>
      </c>
      <c r="E593" t="s">
        <v>100</v>
      </c>
      <c r="F593">
        <v>0</v>
      </c>
      <c r="G593">
        <v>2</v>
      </c>
      <c r="H593" t="s">
        <v>90</v>
      </c>
      <c r="I593" t="b">
        <v>0</v>
      </c>
      <c r="J593">
        <f t="shared" si="18"/>
        <v>2</v>
      </c>
      <c r="K593" t="str">
        <f t="shared" si="19"/>
        <v>Away Win</v>
      </c>
    </row>
    <row r="594" spans="1:11" x14ac:dyDescent="0.35">
      <c r="A594">
        <v>593</v>
      </c>
      <c r="B594">
        <v>2002</v>
      </c>
      <c r="C594" s="1">
        <v>37411</v>
      </c>
      <c r="D594" t="s">
        <v>45</v>
      </c>
      <c r="E594" t="s">
        <v>95</v>
      </c>
      <c r="F594">
        <v>2</v>
      </c>
      <c r="G594">
        <v>2</v>
      </c>
      <c r="H594" t="s">
        <v>33</v>
      </c>
      <c r="I594" t="b">
        <v>1</v>
      </c>
      <c r="J594">
        <f t="shared" si="18"/>
        <v>4</v>
      </c>
      <c r="K594" t="str">
        <f t="shared" si="19"/>
        <v>Draw</v>
      </c>
    </row>
    <row r="595" spans="1:11" x14ac:dyDescent="0.35">
      <c r="A595">
        <v>594</v>
      </c>
      <c r="B595">
        <v>2002</v>
      </c>
      <c r="C595" s="1">
        <v>37411</v>
      </c>
      <c r="D595" t="s">
        <v>45</v>
      </c>
      <c r="E595" t="s">
        <v>64</v>
      </c>
      <c r="F595">
        <v>2</v>
      </c>
      <c r="G595">
        <v>0</v>
      </c>
      <c r="H595" t="s">
        <v>26</v>
      </c>
      <c r="I595" t="b">
        <v>1</v>
      </c>
      <c r="J595">
        <f t="shared" si="18"/>
        <v>2</v>
      </c>
      <c r="K595" t="str">
        <f t="shared" si="19"/>
        <v>Home Win</v>
      </c>
    </row>
    <row r="596" spans="1:11" x14ac:dyDescent="0.35">
      <c r="A596">
        <v>595</v>
      </c>
      <c r="B596">
        <v>2002</v>
      </c>
      <c r="C596" s="1">
        <v>37412</v>
      </c>
      <c r="D596" t="s">
        <v>45</v>
      </c>
      <c r="E596" t="s">
        <v>32</v>
      </c>
      <c r="F596">
        <v>2</v>
      </c>
      <c r="G596">
        <v>0</v>
      </c>
      <c r="H596" t="s">
        <v>79</v>
      </c>
      <c r="I596" t="b">
        <v>0</v>
      </c>
      <c r="J596">
        <f t="shared" si="18"/>
        <v>2</v>
      </c>
      <c r="K596" t="str">
        <f t="shared" si="19"/>
        <v>Home Win</v>
      </c>
    </row>
    <row r="597" spans="1:11" x14ac:dyDescent="0.35">
      <c r="A597">
        <v>596</v>
      </c>
      <c r="B597">
        <v>2002</v>
      </c>
      <c r="C597" s="1">
        <v>37412</v>
      </c>
      <c r="D597" t="s">
        <v>45</v>
      </c>
      <c r="E597" t="s">
        <v>46</v>
      </c>
      <c r="F597">
        <v>3</v>
      </c>
      <c r="G597">
        <v>2</v>
      </c>
      <c r="H597" t="s">
        <v>23</v>
      </c>
      <c r="I597" t="b">
        <v>0</v>
      </c>
      <c r="J597">
        <f t="shared" si="18"/>
        <v>5</v>
      </c>
      <c r="K597" t="str">
        <f t="shared" si="19"/>
        <v>Home Win</v>
      </c>
    </row>
    <row r="598" spans="1:11" x14ac:dyDescent="0.35">
      <c r="A598">
        <v>597</v>
      </c>
      <c r="B598">
        <v>2002</v>
      </c>
      <c r="C598" s="1">
        <v>37412</v>
      </c>
      <c r="D598" t="s">
        <v>45</v>
      </c>
      <c r="E598" t="s">
        <v>13</v>
      </c>
      <c r="F598">
        <v>1</v>
      </c>
      <c r="G598">
        <v>1</v>
      </c>
      <c r="H598" t="s">
        <v>91</v>
      </c>
      <c r="I598" t="b">
        <v>0</v>
      </c>
      <c r="J598">
        <f t="shared" si="18"/>
        <v>2</v>
      </c>
      <c r="K598" t="str">
        <f t="shared" si="19"/>
        <v>Draw</v>
      </c>
    </row>
    <row r="599" spans="1:11" x14ac:dyDescent="0.35">
      <c r="A599">
        <v>598</v>
      </c>
      <c r="B599">
        <v>2002</v>
      </c>
      <c r="C599" s="1">
        <v>37413</v>
      </c>
      <c r="D599" t="s">
        <v>45</v>
      </c>
      <c r="E599" t="s">
        <v>88</v>
      </c>
      <c r="F599">
        <v>1</v>
      </c>
      <c r="G599">
        <v>1</v>
      </c>
      <c r="H599" t="s">
        <v>97</v>
      </c>
      <c r="I599" t="b">
        <v>0</v>
      </c>
      <c r="J599">
        <f t="shared" si="18"/>
        <v>2</v>
      </c>
      <c r="K599" t="str">
        <f t="shared" si="19"/>
        <v>Draw</v>
      </c>
    </row>
    <row r="600" spans="1:11" x14ac:dyDescent="0.35">
      <c r="A600">
        <v>599</v>
      </c>
      <c r="B600">
        <v>2002</v>
      </c>
      <c r="C600" s="1">
        <v>37413</v>
      </c>
      <c r="D600" t="s">
        <v>45</v>
      </c>
      <c r="E600" t="s">
        <v>81</v>
      </c>
      <c r="F600">
        <v>1</v>
      </c>
      <c r="G600">
        <v>0</v>
      </c>
      <c r="H600" t="s">
        <v>92</v>
      </c>
      <c r="I600" t="b">
        <v>0</v>
      </c>
      <c r="J600">
        <f t="shared" si="18"/>
        <v>1</v>
      </c>
      <c r="K600" t="str">
        <f t="shared" si="19"/>
        <v>Home Win</v>
      </c>
    </row>
    <row r="601" spans="1:11" x14ac:dyDescent="0.35">
      <c r="A601">
        <v>600</v>
      </c>
      <c r="B601">
        <v>2002</v>
      </c>
      <c r="C601" s="1">
        <v>37413</v>
      </c>
      <c r="D601" t="s">
        <v>45</v>
      </c>
      <c r="E601" t="s">
        <v>14</v>
      </c>
      <c r="F601">
        <v>0</v>
      </c>
      <c r="G601">
        <v>0</v>
      </c>
      <c r="H601" t="s">
        <v>8</v>
      </c>
      <c r="I601" t="b">
        <v>0</v>
      </c>
      <c r="J601">
        <f t="shared" si="18"/>
        <v>0</v>
      </c>
      <c r="K601" t="str">
        <f t="shared" si="19"/>
        <v>Draw</v>
      </c>
    </row>
    <row r="602" spans="1:11" x14ac:dyDescent="0.35">
      <c r="A602">
        <v>601</v>
      </c>
      <c r="B602">
        <v>2002</v>
      </c>
      <c r="C602" s="1">
        <v>37414</v>
      </c>
      <c r="D602" t="s">
        <v>45</v>
      </c>
      <c r="E602" t="s">
        <v>17</v>
      </c>
      <c r="F602">
        <v>2</v>
      </c>
      <c r="G602">
        <v>1</v>
      </c>
      <c r="H602" t="s">
        <v>94</v>
      </c>
      <c r="I602" t="b">
        <v>0</v>
      </c>
      <c r="J602">
        <f t="shared" si="18"/>
        <v>3</v>
      </c>
      <c r="K602" t="str">
        <f t="shared" si="19"/>
        <v>Home Win</v>
      </c>
    </row>
    <row r="603" spans="1:11" x14ac:dyDescent="0.35">
      <c r="A603">
        <v>602</v>
      </c>
      <c r="B603">
        <v>2002</v>
      </c>
      <c r="C603" s="1">
        <v>37414</v>
      </c>
      <c r="D603" t="s">
        <v>45</v>
      </c>
      <c r="E603" t="s">
        <v>27</v>
      </c>
      <c r="F603">
        <v>3</v>
      </c>
      <c r="G603">
        <v>1</v>
      </c>
      <c r="H603" t="s">
        <v>51</v>
      </c>
      <c r="I603" t="b">
        <v>0</v>
      </c>
      <c r="J603">
        <f t="shared" si="18"/>
        <v>4</v>
      </c>
      <c r="K603" t="str">
        <f t="shared" si="19"/>
        <v>Home Win</v>
      </c>
    </row>
    <row r="604" spans="1:11" x14ac:dyDescent="0.35">
      <c r="A604">
        <v>603</v>
      </c>
      <c r="B604">
        <v>2002</v>
      </c>
      <c r="C604" s="1">
        <v>37414</v>
      </c>
      <c r="D604" t="s">
        <v>45</v>
      </c>
      <c r="E604" t="s">
        <v>9</v>
      </c>
      <c r="F604">
        <v>0</v>
      </c>
      <c r="G604">
        <v>1</v>
      </c>
      <c r="H604" t="s">
        <v>22</v>
      </c>
      <c r="I604" t="b">
        <v>0</v>
      </c>
      <c r="J604">
        <f t="shared" si="18"/>
        <v>1</v>
      </c>
      <c r="K604" t="str">
        <f t="shared" si="19"/>
        <v>Away Win</v>
      </c>
    </row>
    <row r="605" spans="1:11" x14ac:dyDescent="0.35">
      <c r="A605">
        <v>604</v>
      </c>
      <c r="B605">
        <v>2002</v>
      </c>
      <c r="C605" s="1">
        <v>37415</v>
      </c>
      <c r="D605" t="s">
        <v>45</v>
      </c>
      <c r="E605" t="s">
        <v>31</v>
      </c>
      <c r="F605">
        <v>1</v>
      </c>
      <c r="G605">
        <v>0</v>
      </c>
      <c r="H605" t="s">
        <v>98</v>
      </c>
      <c r="I605" t="b">
        <v>0</v>
      </c>
      <c r="J605">
        <f t="shared" si="18"/>
        <v>1</v>
      </c>
      <c r="K605" t="str">
        <f t="shared" si="19"/>
        <v>Home Win</v>
      </c>
    </row>
    <row r="606" spans="1:11" x14ac:dyDescent="0.35">
      <c r="A606">
        <v>605</v>
      </c>
      <c r="B606">
        <v>2002</v>
      </c>
      <c r="C606" s="1">
        <v>37415</v>
      </c>
      <c r="D606" t="s">
        <v>45</v>
      </c>
      <c r="E606" t="s">
        <v>11</v>
      </c>
      <c r="F606">
        <v>1</v>
      </c>
      <c r="G606">
        <v>2</v>
      </c>
      <c r="H606" t="s">
        <v>28</v>
      </c>
      <c r="I606" t="b">
        <v>0</v>
      </c>
      <c r="J606">
        <f t="shared" si="18"/>
        <v>3</v>
      </c>
      <c r="K606" t="str">
        <f t="shared" si="19"/>
        <v>Away Win</v>
      </c>
    </row>
    <row r="607" spans="1:11" x14ac:dyDescent="0.35">
      <c r="A607">
        <v>606</v>
      </c>
      <c r="B607">
        <v>2002</v>
      </c>
      <c r="C607" s="1">
        <v>37415</v>
      </c>
      <c r="D607" t="s">
        <v>45</v>
      </c>
      <c r="E607" t="s">
        <v>16</v>
      </c>
      <c r="F607">
        <v>4</v>
      </c>
      <c r="G607">
        <v>0</v>
      </c>
      <c r="H607" t="s">
        <v>100</v>
      </c>
      <c r="I607" t="b">
        <v>0</v>
      </c>
      <c r="J607">
        <f t="shared" si="18"/>
        <v>4</v>
      </c>
      <c r="K607" t="str">
        <f t="shared" si="19"/>
        <v>Home Win</v>
      </c>
    </row>
    <row r="608" spans="1:11" x14ac:dyDescent="0.35">
      <c r="A608">
        <v>607</v>
      </c>
      <c r="B608">
        <v>2002</v>
      </c>
      <c r="C608" s="1">
        <v>37416</v>
      </c>
      <c r="D608" t="s">
        <v>45</v>
      </c>
      <c r="E608" t="s">
        <v>24</v>
      </c>
      <c r="F608">
        <v>2</v>
      </c>
      <c r="G608">
        <v>1</v>
      </c>
      <c r="H608" t="s">
        <v>99</v>
      </c>
      <c r="I608" t="b">
        <v>0</v>
      </c>
      <c r="J608">
        <f t="shared" si="18"/>
        <v>3</v>
      </c>
      <c r="K608" t="str">
        <f t="shared" si="19"/>
        <v>Home Win</v>
      </c>
    </row>
    <row r="609" spans="1:11" x14ac:dyDescent="0.35">
      <c r="A609">
        <v>608</v>
      </c>
      <c r="B609">
        <v>2002</v>
      </c>
      <c r="C609" s="1">
        <v>37416</v>
      </c>
      <c r="D609" t="s">
        <v>45</v>
      </c>
      <c r="E609" t="s">
        <v>90</v>
      </c>
      <c r="F609">
        <v>1</v>
      </c>
      <c r="G609">
        <v>1</v>
      </c>
      <c r="H609" t="s">
        <v>30</v>
      </c>
      <c r="I609" t="b">
        <v>0</v>
      </c>
      <c r="J609">
        <f t="shared" si="18"/>
        <v>2</v>
      </c>
      <c r="K609" t="str">
        <f t="shared" si="19"/>
        <v>Draw</v>
      </c>
    </row>
    <row r="610" spans="1:11" x14ac:dyDescent="0.35">
      <c r="A610">
        <v>609</v>
      </c>
      <c r="B610">
        <v>2002</v>
      </c>
      <c r="C610" s="1">
        <v>37416</v>
      </c>
      <c r="D610" t="s">
        <v>45</v>
      </c>
      <c r="E610" t="s">
        <v>95</v>
      </c>
      <c r="F610">
        <v>1</v>
      </c>
      <c r="G610">
        <v>0</v>
      </c>
      <c r="H610" t="s">
        <v>32</v>
      </c>
      <c r="I610" t="b">
        <v>1</v>
      </c>
      <c r="J610">
        <f t="shared" si="18"/>
        <v>1</v>
      </c>
      <c r="K610" t="str">
        <f t="shared" si="19"/>
        <v>Home Win</v>
      </c>
    </row>
    <row r="611" spans="1:11" x14ac:dyDescent="0.35">
      <c r="A611">
        <v>610</v>
      </c>
      <c r="B611">
        <v>2002</v>
      </c>
      <c r="C611" s="1">
        <v>37417</v>
      </c>
      <c r="D611" t="s">
        <v>45</v>
      </c>
      <c r="E611" t="s">
        <v>64</v>
      </c>
      <c r="F611">
        <v>1</v>
      </c>
      <c r="G611">
        <v>1</v>
      </c>
      <c r="H611" t="s">
        <v>46</v>
      </c>
      <c r="I611" t="b">
        <v>1</v>
      </c>
      <c r="J611">
        <f t="shared" si="18"/>
        <v>2</v>
      </c>
      <c r="K611" t="str">
        <f t="shared" si="19"/>
        <v>Draw</v>
      </c>
    </row>
    <row r="612" spans="1:11" x14ac:dyDescent="0.35">
      <c r="A612">
        <v>611</v>
      </c>
      <c r="B612">
        <v>2002</v>
      </c>
      <c r="C612" s="1">
        <v>37417</v>
      </c>
      <c r="D612" t="s">
        <v>45</v>
      </c>
      <c r="E612" t="s">
        <v>79</v>
      </c>
      <c r="F612">
        <v>1</v>
      </c>
      <c r="G612">
        <v>1</v>
      </c>
      <c r="H612" t="s">
        <v>33</v>
      </c>
      <c r="I612" t="b">
        <v>0</v>
      </c>
      <c r="J612">
        <f t="shared" si="18"/>
        <v>2</v>
      </c>
      <c r="K612" t="str">
        <f t="shared" si="19"/>
        <v>Draw</v>
      </c>
    </row>
    <row r="613" spans="1:11" x14ac:dyDescent="0.35">
      <c r="A613">
        <v>612</v>
      </c>
      <c r="B613">
        <v>2002</v>
      </c>
      <c r="C613" s="1">
        <v>37417</v>
      </c>
      <c r="D613" t="s">
        <v>45</v>
      </c>
      <c r="E613" t="s">
        <v>23</v>
      </c>
      <c r="F613">
        <v>4</v>
      </c>
      <c r="G613">
        <v>0</v>
      </c>
      <c r="H613" t="s">
        <v>26</v>
      </c>
      <c r="I613" t="b">
        <v>0</v>
      </c>
      <c r="J613">
        <f t="shared" si="18"/>
        <v>4</v>
      </c>
      <c r="K613" t="str">
        <f t="shared" si="19"/>
        <v>Home Win</v>
      </c>
    </row>
    <row r="614" spans="1:11" x14ac:dyDescent="0.35">
      <c r="A614">
        <v>613</v>
      </c>
      <c r="B614">
        <v>2002</v>
      </c>
      <c r="C614" s="1">
        <v>37418</v>
      </c>
      <c r="D614" t="s">
        <v>45</v>
      </c>
      <c r="E614" t="s">
        <v>88</v>
      </c>
      <c r="F614">
        <v>2</v>
      </c>
      <c r="G614">
        <v>0</v>
      </c>
      <c r="H614" t="s">
        <v>14</v>
      </c>
      <c r="I614" t="b">
        <v>0</v>
      </c>
      <c r="J614">
        <f t="shared" si="18"/>
        <v>2</v>
      </c>
      <c r="K614" t="str">
        <f t="shared" si="19"/>
        <v>Home Win</v>
      </c>
    </row>
    <row r="615" spans="1:11" x14ac:dyDescent="0.35">
      <c r="A615">
        <v>614</v>
      </c>
      <c r="B615">
        <v>2002</v>
      </c>
      <c r="C615" s="1">
        <v>37418</v>
      </c>
      <c r="D615" t="s">
        <v>45</v>
      </c>
      <c r="E615" t="s">
        <v>97</v>
      </c>
      <c r="F615">
        <v>3</v>
      </c>
      <c r="G615">
        <v>3</v>
      </c>
      <c r="H615" t="s">
        <v>8</v>
      </c>
      <c r="I615" t="b">
        <v>0</v>
      </c>
      <c r="J615">
        <f t="shared" si="18"/>
        <v>6</v>
      </c>
      <c r="K615" t="str">
        <f t="shared" si="19"/>
        <v>Draw</v>
      </c>
    </row>
    <row r="616" spans="1:11" x14ac:dyDescent="0.35">
      <c r="A616">
        <v>615</v>
      </c>
      <c r="B616">
        <v>2002</v>
      </c>
      <c r="C616" s="1">
        <v>37418</v>
      </c>
      <c r="D616" t="s">
        <v>45</v>
      </c>
      <c r="E616" t="s">
        <v>92</v>
      </c>
      <c r="F616">
        <v>0</v>
      </c>
      <c r="G616">
        <v>3</v>
      </c>
      <c r="H616" t="s">
        <v>91</v>
      </c>
      <c r="I616" t="b">
        <v>0</v>
      </c>
      <c r="J616">
        <f t="shared" si="18"/>
        <v>3</v>
      </c>
      <c r="K616" t="str">
        <f t="shared" si="19"/>
        <v>Away Win</v>
      </c>
    </row>
    <row r="617" spans="1:11" x14ac:dyDescent="0.35">
      <c r="A617">
        <v>616</v>
      </c>
      <c r="B617">
        <v>2002</v>
      </c>
      <c r="C617" s="1">
        <v>37418</v>
      </c>
      <c r="D617" t="s">
        <v>45</v>
      </c>
      <c r="E617" t="s">
        <v>81</v>
      </c>
      <c r="F617">
        <v>0</v>
      </c>
      <c r="G617">
        <v>2</v>
      </c>
      <c r="H617" t="s">
        <v>13</v>
      </c>
      <c r="I617" t="b">
        <v>0</v>
      </c>
      <c r="J617">
        <f t="shared" si="18"/>
        <v>2</v>
      </c>
      <c r="K617" t="str">
        <f t="shared" si="19"/>
        <v>Away Win</v>
      </c>
    </row>
    <row r="618" spans="1:11" x14ac:dyDescent="0.35">
      <c r="A618">
        <v>617</v>
      </c>
      <c r="B618">
        <v>2002</v>
      </c>
      <c r="C618" s="1">
        <v>37419</v>
      </c>
      <c r="D618" t="s">
        <v>45</v>
      </c>
      <c r="E618" t="s">
        <v>17</v>
      </c>
      <c r="F618">
        <v>1</v>
      </c>
      <c r="G618">
        <v>1</v>
      </c>
      <c r="H618" t="s">
        <v>9</v>
      </c>
      <c r="I618" t="b">
        <v>0</v>
      </c>
      <c r="J618">
        <f t="shared" si="18"/>
        <v>2</v>
      </c>
      <c r="K618" t="str">
        <f t="shared" si="19"/>
        <v>Draw</v>
      </c>
    </row>
    <row r="619" spans="1:11" x14ac:dyDescent="0.35">
      <c r="A619">
        <v>618</v>
      </c>
      <c r="B619">
        <v>2002</v>
      </c>
      <c r="C619" s="1">
        <v>37419</v>
      </c>
      <c r="D619" t="s">
        <v>45</v>
      </c>
      <c r="E619" t="s">
        <v>94</v>
      </c>
      <c r="F619">
        <v>0</v>
      </c>
      <c r="G619">
        <v>0</v>
      </c>
      <c r="H619" t="s">
        <v>22</v>
      </c>
      <c r="I619" t="b">
        <v>0</v>
      </c>
      <c r="J619">
        <f t="shared" si="18"/>
        <v>0</v>
      </c>
      <c r="K619" t="str">
        <f t="shared" si="19"/>
        <v>Draw</v>
      </c>
    </row>
    <row r="620" spans="1:11" x14ac:dyDescent="0.35">
      <c r="A620">
        <v>619</v>
      </c>
      <c r="B620">
        <v>2002</v>
      </c>
      <c r="C620" s="1">
        <v>37419</v>
      </c>
      <c r="D620" t="s">
        <v>45</v>
      </c>
      <c r="E620" t="s">
        <v>98</v>
      </c>
      <c r="F620">
        <v>1</v>
      </c>
      <c r="G620">
        <v>3</v>
      </c>
      <c r="H620" t="s">
        <v>51</v>
      </c>
      <c r="I620" t="b">
        <v>0</v>
      </c>
      <c r="J620">
        <f t="shared" si="18"/>
        <v>4</v>
      </c>
      <c r="K620" t="str">
        <f t="shared" si="19"/>
        <v>Away Win</v>
      </c>
    </row>
    <row r="621" spans="1:11" x14ac:dyDescent="0.35">
      <c r="A621">
        <v>620</v>
      </c>
      <c r="B621">
        <v>2002</v>
      </c>
      <c r="C621" s="1">
        <v>37419</v>
      </c>
      <c r="D621" t="s">
        <v>45</v>
      </c>
      <c r="E621" t="s">
        <v>31</v>
      </c>
      <c r="F621">
        <v>2</v>
      </c>
      <c r="G621">
        <v>3</v>
      </c>
      <c r="H621" t="s">
        <v>27</v>
      </c>
      <c r="I621" t="b">
        <v>0</v>
      </c>
      <c r="J621">
        <f t="shared" si="18"/>
        <v>5</v>
      </c>
      <c r="K621" t="str">
        <f t="shared" si="19"/>
        <v>Away Win</v>
      </c>
    </row>
    <row r="622" spans="1:11" x14ac:dyDescent="0.35">
      <c r="A622">
        <v>621</v>
      </c>
      <c r="B622">
        <v>2002</v>
      </c>
      <c r="C622" s="1">
        <v>37420</v>
      </c>
      <c r="D622" t="s">
        <v>45</v>
      </c>
      <c r="E622" t="s">
        <v>90</v>
      </c>
      <c r="F622">
        <v>2</v>
      </c>
      <c r="G622">
        <v>5</v>
      </c>
      <c r="H622" t="s">
        <v>16</v>
      </c>
      <c r="I622" t="b">
        <v>0</v>
      </c>
      <c r="J622">
        <f t="shared" si="18"/>
        <v>7</v>
      </c>
      <c r="K622" t="str">
        <f t="shared" si="19"/>
        <v>Away Win</v>
      </c>
    </row>
    <row r="623" spans="1:11" x14ac:dyDescent="0.35">
      <c r="A623">
        <v>622</v>
      </c>
      <c r="B623">
        <v>2002</v>
      </c>
      <c r="C623" s="1">
        <v>37420</v>
      </c>
      <c r="D623" t="s">
        <v>45</v>
      </c>
      <c r="E623" t="s">
        <v>30</v>
      </c>
      <c r="F623">
        <v>3</v>
      </c>
      <c r="G623">
        <v>0</v>
      </c>
      <c r="H623" t="s">
        <v>100</v>
      </c>
      <c r="I623" t="b">
        <v>0</v>
      </c>
      <c r="J623">
        <f t="shared" si="18"/>
        <v>3</v>
      </c>
      <c r="K623" t="str">
        <f t="shared" si="19"/>
        <v>Home Win</v>
      </c>
    </row>
    <row r="624" spans="1:11" x14ac:dyDescent="0.35">
      <c r="A624">
        <v>623</v>
      </c>
      <c r="B624">
        <v>2002</v>
      </c>
      <c r="C624" s="1">
        <v>37420</v>
      </c>
      <c r="D624" t="s">
        <v>45</v>
      </c>
      <c r="E624" t="s">
        <v>99</v>
      </c>
      <c r="F624">
        <v>1</v>
      </c>
      <c r="G624">
        <v>0</v>
      </c>
      <c r="H624" t="s">
        <v>28</v>
      </c>
      <c r="I624" t="b">
        <v>0</v>
      </c>
      <c r="J624">
        <f t="shared" si="18"/>
        <v>1</v>
      </c>
      <c r="K624" t="str">
        <f t="shared" si="19"/>
        <v>Home Win</v>
      </c>
    </row>
    <row r="625" spans="1:11" x14ac:dyDescent="0.35">
      <c r="A625">
        <v>624</v>
      </c>
      <c r="B625">
        <v>2002</v>
      </c>
      <c r="C625" s="1">
        <v>37420</v>
      </c>
      <c r="D625" t="s">
        <v>45</v>
      </c>
      <c r="E625" t="s">
        <v>24</v>
      </c>
      <c r="F625">
        <v>1</v>
      </c>
      <c r="G625">
        <v>1</v>
      </c>
      <c r="H625" t="s">
        <v>11</v>
      </c>
      <c r="I625" t="b">
        <v>0</v>
      </c>
      <c r="J625">
        <f t="shared" si="18"/>
        <v>2</v>
      </c>
      <c r="K625" t="str">
        <f t="shared" si="19"/>
        <v>Draw</v>
      </c>
    </row>
    <row r="626" spans="1:11" x14ac:dyDescent="0.35">
      <c r="A626">
        <v>625</v>
      </c>
      <c r="B626">
        <v>2002</v>
      </c>
      <c r="C626" s="1">
        <v>37421</v>
      </c>
      <c r="D626" t="s">
        <v>45</v>
      </c>
      <c r="E626" t="s">
        <v>95</v>
      </c>
      <c r="F626">
        <v>2</v>
      </c>
      <c r="G626">
        <v>0</v>
      </c>
      <c r="H626" t="s">
        <v>79</v>
      </c>
      <c r="I626" t="b">
        <v>1</v>
      </c>
      <c r="J626">
        <f t="shared" si="18"/>
        <v>2</v>
      </c>
      <c r="K626" t="str">
        <f t="shared" si="19"/>
        <v>Home Win</v>
      </c>
    </row>
    <row r="627" spans="1:11" x14ac:dyDescent="0.35">
      <c r="A627">
        <v>626</v>
      </c>
      <c r="B627">
        <v>2002</v>
      </c>
      <c r="C627" s="1">
        <v>37421</v>
      </c>
      <c r="D627" t="s">
        <v>45</v>
      </c>
      <c r="E627" t="s">
        <v>33</v>
      </c>
      <c r="F627">
        <v>3</v>
      </c>
      <c r="G627">
        <v>2</v>
      </c>
      <c r="H627" t="s">
        <v>32</v>
      </c>
      <c r="I627" t="b">
        <v>0</v>
      </c>
      <c r="J627">
        <f t="shared" si="18"/>
        <v>5</v>
      </c>
      <c r="K627" t="str">
        <f t="shared" si="19"/>
        <v>Home Win</v>
      </c>
    </row>
    <row r="628" spans="1:11" x14ac:dyDescent="0.35">
      <c r="A628">
        <v>627</v>
      </c>
      <c r="B628">
        <v>2002</v>
      </c>
      <c r="C628" s="1">
        <v>37421</v>
      </c>
      <c r="D628" t="s">
        <v>45</v>
      </c>
      <c r="E628" t="s">
        <v>64</v>
      </c>
      <c r="F628">
        <v>1</v>
      </c>
      <c r="G628">
        <v>0</v>
      </c>
      <c r="H628" t="s">
        <v>23</v>
      </c>
      <c r="I628" t="b">
        <v>1</v>
      </c>
      <c r="J628">
        <f t="shared" si="18"/>
        <v>1</v>
      </c>
      <c r="K628" t="str">
        <f t="shared" si="19"/>
        <v>Home Win</v>
      </c>
    </row>
    <row r="629" spans="1:11" x14ac:dyDescent="0.35">
      <c r="A629">
        <v>628</v>
      </c>
      <c r="B629">
        <v>2002</v>
      </c>
      <c r="C629" s="1">
        <v>37421</v>
      </c>
      <c r="D629" t="s">
        <v>45</v>
      </c>
      <c r="E629" t="s">
        <v>26</v>
      </c>
      <c r="F629">
        <v>3</v>
      </c>
      <c r="G629">
        <v>1</v>
      </c>
      <c r="H629" t="s">
        <v>46</v>
      </c>
      <c r="I629" t="b">
        <v>0</v>
      </c>
      <c r="J629">
        <f t="shared" si="18"/>
        <v>4</v>
      </c>
      <c r="K629" t="str">
        <f t="shared" si="19"/>
        <v>Home Win</v>
      </c>
    </row>
    <row r="630" spans="1:11" x14ac:dyDescent="0.35">
      <c r="A630">
        <v>629</v>
      </c>
      <c r="B630">
        <v>2002</v>
      </c>
      <c r="C630" s="1">
        <v>37422</v>
      </c>
      <c r="D630" t="s">
        <v>54</v>
      </c>
      <c r="E630" t="s">
        <v>13</v>
      </c>
      <c r="F630">
        <v>1</v>
      </c>
      <c r="G630">
        <v>0</v>
      </c>
      <c r="H630" t="s">
        <v>51</v>
      </c>
      <c r="I630" t="b">
        <v>0</v>
      </c>
      <c r="J630">
        <f t="shared" si="18"/>
        <v>1</v>
      </c>
      <c r="K630" t="str">
        <f t="shared" si="19"/>
        <v>Home Win</v>
      </c>
    </row>
    <row r="631" spans="1:11" x14ac:dyDescent="0.35">
      <c r="A631">
        <v>630</v>
      </c>
      <c r="B631">
        <v>2002</v>
      </c>
      <c r="C631" s="1">
        <v>37422</v>
      </c>
      <c r="D631" t="s">
        <v>54</v>
      </c>
      <c r="E631" t="s">
        <v>88</v>
      </c>
      <c r="F631">
        <v>0</v>
      </c>
      <c r="G631">
        <v>3</v>
      </c>
      <c r="H631" t="s">
        <v>22</v>
      </c>
      <c r="I631" t="b">
        <v>0</v>
      </c>
      <c r="J631">
        <f t="shared" si="18"/>
        <v>3</v>
      </c>
      <c r="K631" t="str">
        <f t="shared" si="19"/>
        <v>Away Win</v>
      </c>
    </row>
    <row r="632" spans="1:11" x14ac:dyDescent="0.35">
      <c r="A632">
        <v>631</v>
      </c>
      <c r="B632">
        <v>2002</v>
      </c>
      <c r="C632" s="1">
        <v>37423</v>
      </c>
      <c r="D632" t="s">
        <v>54</v>
      </c>
      <c r="E632" t="s">
        <v>17</v>
      </c>
      <c r="F632">
        <v>1</v>
      </c>
      <c r="G632">
        <v>2</v>
      </c>
      <c r="H632" t="s">
        <v>97</v>
      </c>
      <c r="I632" t="b">
        <v>0</v>
      </c>
      <c r="J632">
        <f t="shared" si="18"/>
        <v>3</v>
      </c>
      <c r="K632" t="str">
        <f t="shared" si="19"/>
        <v>Away Win</v>
      </c>
    </row>
    <row r="633" spans="1:11" x14ac:dyDescent="0.35">
      <c r="A633">
        <v>632</v>
      </c>
      <c r="B633">
        <v>2002</v>
      </c>
      <c r="C633" s="1">
        <v>37423</v>
      </c>
      <c r="D633" t="s">
        <v>54</v>
      </c>
      <c r="E633" t="s">
        <v>27</v>
      </c>
      <c r="F633">
        <v>1</v>
      </c>
      <c r="G633">
        <v>1</v>
      </c>
      <c r="H633" t="s">
        <v>91</v>
      </c>
      <c r="I633" t="b">
        <v>0</v>
      </c>
      <c r="J633">
        <f t="shared" si="18"/>
        <v>2</v>
      </c>
      <c r="K633" t="str">
        <f t="shared" si="19"/>
        <v>Draw</v>
      </c>
    </row>
    <row r="634" spans="1:11" x14ac:dyDescent="0.35">
      <c r="A634">
        <v>633</v>
      </c>
      <c r="B634">
        <v>2002</v>
      </c>
      <c r="C634" s="1">
        <v>37424</v>
      </c>
      <c r="D634" t="s">
        <v>54</v>
      </c>
      <c r="E634" t="s">
        <v>24</v>
      </c>
      <c r="F634">
        <v>0</v>
      </c>
      <c r="G634">
        <v>2</v>
      </c>
      <c r="H634" t="s">
        <v>46</v>
      </c>
      <c r="I634" t="b">
        <v>0</v>
      </c>
      <c r="J634">
        <f t="shared" si="18"/>
        <v>2</v>
      </c>
      <c r="K634" t="str">
        <f t="shared" si="19"/>
        <v>Away Win</v>
      </c>
    </row>
    <row r="635" spans="1:11" x14ac:dyDescent="0.35">
      <c r="A635">
        <v>634</v>
      </c>
      <c r="B635">
        <v>2002</v>
      </c>
      <c r="C635" s="1">
        <v>37424</v>
      </c>
      <c r="D635" t="s">
        <v>54</v>
      </c>
      <c r="E635" t="s">
        <v>16</v>
      </c>
      <c r="F635">
        <v>2</v>
      </c>
      <c r="G635">
        <v>0</v>
      </c>
      <c r="H635" t="s">
        <v>33</v>
      </c>
      <c r="I635" t="b">
        <v>0</v>
      </c>
      <c r="J635">
        <f t="shared" si="18"/>
        <v>2</v>
      </c>
      <c r="K635" t="str">
        <f t="shared" si="19"/>
        <v>Home Win</v>
      </c>
    </row>
    <row r="636" spans="1:11" x14ac:dyDescent="0.35">
      <c r="A636">
        <v>635</v>
      </c>
      <c r="B636">
        <v>2002</v>
      </c>
      <c r="C636" s="1">
        <v>37425</v>
      </c>
      <c r="D636" t="s">
        <v>54</v>
      </c>
      <c r="E636" t="s">
        <v>95</v>
      </c>
      <c r="F636">
        <v>0</v>
      </c>
      <c r="G636">
        <v>1</v>
      </c>
      <c r="H636" t="s">
        <v>30</v>
      </c>
      <c r="I636" t="b">
        <v>1</v>
      </c>
      <c r="J636">
        <f t="shared" si="18"/>
        <v>1</v>
      </c>
      <c r="K636" t="str">
        <f t="shared" si="19"/>
        <v>Away Win</v>
      </c>
    </row>
    <row r="637" spans="1:11" x14ac:dyDescent="0.35">
      <c r="A637">
        <v>636</v>
      </c>
      <c r="B637">
        <v>2002</v>
      </c>
      <c r="C637" s="1">
        <v>37425</v>
      </c>
      <c r="D637" t="s">
        <v>54</v>
      </c>
      <c r="E637" t="s">
        <v>64</v>
      </c>
      <c r="F637">
        <v>2</v>
      </c>
      <c r="G637">
        <v>1</v>
      </c>
      <c r="H637" t="s">
        <v>11</v>
      </c>
      <c r="I637" t="b">
        <v>1</v>
      </c>
      <c r="J637">
        <f t="shared" si="18"/>
        <v>3</v>
      </c>
      <c r="K637" t="str">
        <f t="shared" si="19"/>
        <v>Home Win</v>
      </c>
    </row>
    <row r="638" spans="1:11" x14ac:dyDescent="0.35">
      <c r="A638">
        <v>637</v>
      </c>
      <c r="B638">
        <v>2002</v>
      </c>
      <c r="C638" s="1">
        <v>37428</v>
      </c>
      <c r="D638" t="s">
        <v>56</v>
      </c>
      <c r="E638" t="s">
        <v>22</v>
      </c>
      <c r="F638">
        <v>1</v>
      </c>
      <c r="G638">
        <v>2</v>
      </c>
      <c r="H638" t="s">
        <v>16</v>
      </c>
      <c r="I638" t="b">
        <v>0</v>
      </c>
      <c r="J638">
        <f t="shared" si="18"/>
        <v>3</v>
      </c>
      <c r="K638" t="str">
        <f t="shared" si="19"/>
        <v>Away Win</v>
      </c>
    </row>
    <row r="639" spans="1:11" x14ac:dyDescent="0.35">
      <c r="A639">
        <v>638</v>
      </c>
      <c r="B639">
        <v>2002</v>
      </c>
      <c r="C639" s="1">
        <v>37428</v>
      </c>
      <c r="D639" t="s">
        <v>56</v>
      </c>
      <c r="E639" t="s">
        <v>13</v>
      </c>
      <c r="F639">
        <v>1</v>
      </c>
      <c r="G639">
        <v>0</v>
      </c>
      <c r="H639" t="s">
        <v>46</v>
      </c>
      <c r="I639" t="b">
        <v>0</v>
      </c>
      <c r="J639">
        <f t="shared" si="18"/>
        <v>1</v>
      </c>
      <c r="K639" t="str">
        <f t="shared" si="19"/>
        <v>Home Win</v>
      </c>
    </row>
    <row r="640" spans="1:11" x14ac:dyDescent="0.35">
      <c r="A640">
        <v>639</v>
      </c>
      <c r="B640">
        <v>2002</v>
      </c>
      <c r="C640" s="1">
        <v>37429</v>
      </c>
      <c r="D640" t="s">
        <v>56</v>
      </c>
      <c r="E640" t="s">
        <v>64</v>
      </c>
      <c r="F640">
        <v>0</v>
      </c>
      <c r="G640">
        <v>0</v>
      </c>
      <c r="H640" t="s">
        <v>27</v>
      </c>
      <c r="I640" t="b">
        <v>1</v>
      </c>
      <c r="J640">
        <f t="shared" si="18"/>
        <v>0</v>
      </c>
      <c r="K640" t="str">
        <f t="shared" si="19"/>
        <v>Draw</v>
      </c>
    </row>
    <row r="641" spans="1:11" x14ac:dyDescent="0.35">
      <c r="A641">
        <v>640</v>
      </c>
      <c r="B641">
        <v>2002</v>
      </c>
      <c r="C641" s="1">
        <v>37429</v>
      </c>
      <c r="D641" t="s">
        <v>56</v>
      </c>
      <c r="E641" t="s">
        <v>97</v>
      </c>
      <c r="F641">
        <v>0</v>
      </c>
      <c r="G641">
        <v>1</v>
      </c>
      <c r="H641" t="s">
        <v>30</v>
      </c>
      <c r="I641" t="b">
        <v>0</v>
      </c>
      <c r="J641">
        <f t="shared" si="18"/>
        <v>1</v>
      </c>
      <c r="K641" t="str">
        <f t="shared" si="19"/>
        <v>Away Win</v>
      </c>
    </row>
    <row r="642" spans="1:11" x14ac:dyDescent="0.35">
      <c r="A642">
        <v>641</v>
      </c>
      <c r="B642">
        <v>2002</v>
      </c>
      <c r="C642" s="1">
        <v>37432</v>
      </c>
      <c r="D642" t="s">
        <v>52</v>
      </c>
      <c r="E642" t="s">
        <v>64</v>
      </c>
      <c r="F642">
        <v>0</v>
      </c>
      <c r="G642">
        <v>1</v>
      </c>
      <c r="H642" t="s">
        <v>13</v>
      </c>
      <c r="I642" t="b">
        <v>1</v>
      </c>
      <c r="J642">
        <f t="shared" si="18"/>
        <v>1</v>
      </c>
      <c r="K642" t="str">
        <f t="shared" si="19"/>
        <v>Away Win</v>
      </c>
    </row>
    <row r="643" spans="1:11" x14ac:dyDescent="0.35">
      <c r="A643">
        <v>642</v>
      </c>
      <c r="B643">
        <v>2002</v>
      </c>
      <c r="C643" s="1">
        <v>37433</v>
      </c>
      <c r="D643" t="s">
        <v>52</v>
      </c>
      <c r="E643" t="s">
        <v>16</v>
      </c>
      <c r="F643">
        <v>1</v>
      </c>
      <c r="G643">
        <v>0</v>
      </c>
      <c r="H643" t="s">
        <v>30</v>
      </c>
      <c r="I643" t="b">
        <v>0</v>
      </c>
      <c r="J643">
        <f t="shared" ref="J643:J706" si="20">F:F+G:G</f>
        <v>1</v>
      </c>
      <c r="K643" t="str">
        <f t="shared" ref="K643:K706" si="21">IF(F643&gt;G643,"Home Win",IF(F643&lt;G643,"Away Win","Draw"))</f>
        <v>Home Win</v>
      </c>
    </row>
    <row r="644" spans="1:11" x14ac:dyDescent="0.35">
      <c r="A644">
        <v>643</v>
      </c>
      <c r="B644">
        <v>2002</v>
      </c>
      <c r="C644" s="1">
        <v>37436</v>
      </c>
      <c r="D644" t="s">
        <v>57</v>
      </c>
      <c r="E644" t="s">
        <v>64</v>
      </c>
      <c r="F644">
        <v>2</v>
      </c>
      <c r="G644">
        <v>3</v>
      </c>
      <c r="H644" t="s">
        <v>30</v>
      </c>
      <c r="I644" t="b">
        <v>1</v>
      </c>
      <c r="J644">
        <f t="shared" si="20"/>
        <v>5</v>
      </c>
      <c r="K644" t="str">
        <f t="shared" si="21"/>
        <v>Away Win</v>
      </c>
    </row>
    <row r="645" spans="1:11" x14ac:dyDescent="0.35">
      <c r="A645">
        <v>644</v>
      </c>
      <c r="B645">
        <v>2002</v>
      </c>
      <c r="C645" s="1">
        <v>37437</v>
      </c>
      <c r="D645" t="s">
        <v>53</v>
      </c>
      <c r="E645" t="s">
        <v>13</v>
      </c>
      <c r="F645">
        <v>0</v>
      </c>
      <c r="G645">
        <v>2</v>
      </c>
      <c r="H645" t="s">
        <v>16</v>
      </c>
      <c r="I645" t="b">
        <v>0</v>
      </c>
      <c r="J645">
        <f t="shared" si="20"/>
        <v>2</v>
      </c>
      <c r="K645" t="str">
        <f t="shared" si="21"/>
        <v>Away Win</v>
      </c>
    </row>
    <row r="646" spans="1:11" x14ac:dyDescent="0.35">
      <c r="A646">
        <v>645</v>
      </c>
      <c r="B646">
        <v>2006</v>
      </c>
      <c r="C646" s="1">
        <v>38877</v>
      </c>
      <c r="D646" t="s">
        <v>45</v>
      </c>
      <c r="E646" t="s">
        <v>13</v>
      </c>
      <c r="F646">
        <v>4</v>
      </c>
      <c r="G646">
        <v>2</v>
      </c>
      <c r="H646" t="s">
        <v>90</v>
      </c>
      <c r="I646" t="b">
        <v>1</v>
      </c>
      <c r="J646">
        <f t="shared" si="20"/>
        <v>6</v>
      </c>
      <c r="K646" t="str">
        <f t="shared" si="21"/>
        <v>Home Win</v>
      </c>
    </row>
    <row r="647" spans="1:11" x14ac:dyDescent="0.35">
      <c r="A647">
        <v>646</v>
      </c>
      <c r="B647">
        <v>2006</v>
      </c>
      <c r="C647" s="1">
        <v>38877</v>
      </c>
      <c r="D647" t="s">
        <v>45</v>
      </c>
      <c r="E647" t="s">
        <v>26</v>
      </c>
      <c r="F647">
        <v>0</v>
      </c>
      <c r="G647">
        <v>2</v>
      </c>
      <c r="H647" t="s">
        <v>99</v>
      </c>
      <c r="I647" t="b">
        <v>0</v>
      </c>
      <c r="J647">
        <f t="shared" si="20"/>
        <v>2</v>
      </c>
      <c r="K647" t="str">
        <f t="shared" si="21"/>
        <v>Away Win</v>
      </c>
    </row>
    <row r="648" spans="1:11" x14ac:dyDescent="0.35">
      <c r="A648">
        <v>647</v>
      </c>
      <c r="B648">
        <v>2006</v>
      </c>
      <c r="C648" s="1">
        <v>38878</v>
      </c>
      <c r="D648" t="s">
        <v>45</v>
      </c>
      <c r="E648" t="s">
        <v>22</v>
      </c>
      <c r="F648">
        <v>1</v>
      </c>
      <c r="G648">
        <v>0</v>
      </c>
      <c r="H648" t="s">
        <v>51</v>
      </c>
      <c r="I648" t="b">
        <v>0</v>
      </c>
      <c r="J648">
        <f t="shared" si="20"/>
        <v>1</v>
      </c>
      <c r="K648" t="str">
        <f t="shared" si="21"/>
        <v>Home Win</v>
      </c>
    </row>
    <row r="649" spans="1:11" x14ac:dyDescent="0.35">
      <c r="A649">
        <v>648</v>
      </c>
      <c r="B649">
        <v>2006</v>
      </c>
      <c r="C649" s="1">
        <v>38878</v>
      </c>
      <c r="D649" t="s">
        <v>45</v>
      </c>
      <c r="E649" t="s">
        <v>101</v>
      </c>
      <c r="F649">
        <v>0</v>
      </c>
      <c r="G649">
        <v>0</v>
      </c>
      <c r="H649" t="s">
        <v>17</v>
      </c>
      <c r="I649" t="b">
        <v>0</v>
      </c>
      <c r="J649">
        <f t="shared" si="20"/>
        <v>0</v>
      </c>
      <c r="K649" t="str">
        <f t="shared" si="21"/>
        <v>Draw</v>
      </c>
    </row>
    <row r="650" spans="1:11" x14ac:dyDescent="0.35">
      <c r="A650">
        <v>649</v>
      </c>
      <c r="B650">
        <v>2006</v>
      </c>
      <c r="C650" s="1">
        <v>38878</v>
      </c>
      <c r="D650" t="s">
        <v>45</v>
      </c>
      <c r="E650" t="s">
        <v>9</v>
      </c>
      <c r="F650">
        <v>2</v>
      </c>
      <c r="G650">
        <v>1</v>
      </c>
      <c r="H650" t="s">
        <v>102</v>
      </c>
      <c r="I650" t="b">
        <v>0</v>
      </c>
      <c r="J650">
        <f t="shared" si="20"/>
        <v>3</v>
      </c>
      <c r="K650" t="str">
        <f t="shared" si="21"/>
        <v>Home Win</v>
      </c>
    </row>
    <row r="651" spans="1:11" x14ac:dyDescent="0.35">
      <c r="A651">
        <v>650</v>
      </c>
      <c r="B651">
        <v>2006</v>
      </c>
      <c r="C651" s="1">
        <v>38879</v>
      </c>
      <c r="D651" t="s">
        <v>45</v>
      </c>
      <c r="E651" t="s">
        <v>103</v>
      </c>
      <c r="F651">
        <v>0</v>
      </c>
      <c r="G651">
        <v>1</v>
      </c>
      <c r="H651" t="s">
        <v>25</v>
      </c>
      <c r="I651" t="b">
        <v>0</v>
      </c>
      <c r="J651">
        <f t="shared" si="20"/>
        <v>1</v>
      </c>
      <c r="K651" t="str">
        <f t="shared" si="21"/>
        <v>Away Win</v>
      </c>
    </row>
    <row r="652" spans="1:11" x14ac:dyDescent="0.35">
      <c r="A652">
        <v>651</v>
      </c>
      <c r="B652">
        <v>2006</v>
      </c>
      <c r="C652" s="1">
        <v>38879</v>
      </c>
      <c r="D652" t="s">
        <v>45</v>
      </c>
      <c r="E652" t="s">
        <v>24</v>
      </c>
      <c r="F652">
        <v>3</v>
      </c>
      <c r="G652">
        <v>1</v>
      </c>
      <c r="H652" t="s">
        <v>80</v>
      </c>
      <c r="I652" t="b">
        <v>0</v>
      </c>
      <c r="J652">
        <f t="shared" si="20"/>
        <v>4</v>
      </c>
      <c r="K652" t="str">
        <f t="shared" si="21"/>
        <v>Home Win</v>
      </c>
    </row>
    <row r="653" spans="1:11" x14ac:dyDescent="0.35">
      <c r="A653">
        <v>652</v>
      </c>
      <c r="B653">
        <v>2006</v>
      </c>
      <c r="C653" s="1">
        <v>38879</v>
      </c>
      <c r="D653" t="s">
        <v>45</v>
      </c>
      <c r="E653" t="s">
        <v>104</v>
      </c>
      <c r="F653">
        <v>0</v>
      </c>
      <c r="G653">
        <v>1</v>
      </c>
      <c r="H653" t="s">
        <v>23</v>
      </c>
      <c r="I653" t="b">
        <v>0</v>
      </c>
      <c r="J653">
        <f t="shared" si="20"/>
        <v>1</v>
      </c>
      <c r="K653" t="str">
        <f t="shared" si="21"/>
        <v>Away Win</v>
      </c>
    </row>
    <row r="654" spans="1:11" x14ac:dyDescent="0.35">
      <c r="A654">
        <v>653</v>
      </c>
      <c r="B654">
        <v>2006</v>
      </c>
      <c r="C654" s="1">
        <v>38880</v>
      </c>
      <c r="D654" t="s">
        <v>45</v>
      </c>
      <c r="E654" t="s">
        <v>75</v>
      </c>
      <c r="F654">
        <v>3</v>
      </c>
      <c r="G654">
        <v>1</v>
      </c>
      <c r="H654" t="s">
        <v>95</v>
      </c>
      <c r="I654" t="b">
        <v>0</v>
      </c>
      <c r="J654">
        <f t="shared" si="20"/>
        <v>4</v>
      </c>
      <c r="K654" t="str">
        <f t="shared" si="21"/>
        <v>Home Win</v>
      </c>
    </row>
    <row r="655" spans="1:11" x14ac:dyDescent="0.35">
      <c r="A655">
        <v>654</v>
      </c>
      <c r="B655">
        <v>2006</v>
      </c>
      <c r="C655" s="1">
        <v>38880</v>
      </c>
      <c r="D655" t="s">
        <v>45</v>
      </c>
      <c r="E655" t="s">
        <v>46</v>
      </c>
      <c r="F655">
        <v>0</v>
      </c>
      <c r="G655">
        <v>3</v>
      </c>
      <c r="H655" t="s">
        <v>105</v>
      </c>
      <c r="I655" t="b">
        <v>0</v>
      </c>
      <c r="J655">
        <f t="shared" si="20"/>
        <v>3</v>
      </c>
      <c r="K655" t="str">
        <f t="shared" si="21"/>
        <v>Away Win</v>
      </c>
    </row>
    <row r="656" spans="1:11" x14ac:dyDescent="0.35">
      <c r="A656">
        <v>655</v>
      </c>
      <c r="B656">
        <v>2006</v>
      </c>
      <c r="C656" s="1">
        <v>38880</v>
      </c>
      <c r="D656" t="s">
        <v>45</v>
      </c>
      <c r="E656" t="s">
        <v>11</v>
      </c>
      <c r="F656">
        <v>2</v>
      </c>
      <c r="G656">
        <v>0</v>
      </c>
      <c r="H656" t="s">
        <v>106</v>
      </c>
      <c r="I656" t="b">
        <v>0</v>
      </c>
      <c r="J656">
        <f t="shared" si="20"/>
        <v>2</v>
      </c>
      <c r="K656" t="str">
        <f t="shared" si="21"/>
        <v>Home Win</v>
      </c>
    </row>
    <row r="657" spans="1:11" x14ac:dyDescent="0.35">
      <c r="A657">
        <v>656</v>
      </c>
      <c r="B657">
        <v>2006</v>
      </c>
      <c r="C657" s="1">
        <v>38881</v>
      </c>
      <c r="D657" t="s">
        <v>45</v>
      </c>
      <c r="E657" t="s">
        <v>64</v>
      </c>
      <c r="F657">
        <v>2</v>
      </c>
      <c r="G657">
        <v>1</v>
      </c>
      <c r="H657" t="s">
        <v>107</v>
      </c>
      <c r="I657" t="b">
        <v>0</v>
      </c>
      <c r="J657">
        <f t="shared" si="20"/>
        <v>3</v>
      </c>
      <c r="K657" t="str">
        <f t="shared" si="21"/>
        <v>Home Win</v>
      </c>
    </row>
    <row r="658" spans="1:11" x14ac:dyDescent="0.35">
      <c r="A658">
        <v>657</v>
      </c>
      <c r="B658">
        <v>2006</v>
      </c>
      <c r="C658" s="1">
        <v>38881</v>
      </c>
      <c r="D658" t="s">
        <v>45</v>
      </c>
      <c r="E658" t="s">
        <v>14</v>
      </c>
      <c r="F658">
        <v>0</v>
      </c>
      <c r="G658">
        <v>0</v>
      </c>
      <c r="H658" t="s">
        <v>18</v>
      </c>
      <c r="I658" t="b">
        <v>0</v>
      </c>
      <c r="J658">
        <f t="shared" si="20"/>
        <v>0</v>
      </c>
      <c r="K658" t="str">
        <f t="shared" si="21"/>
        <v>Draw</v>
      </c>
    </row>
    <row r="659" spans="1:11" x14ac:dyDescent="0.35">
      <c r="A659">
        <v>658</v>
      </c>
      <c r="B659">
        <v>2006</v>
      </c>
      <c r="C659" s="1">
        <v>38881</v>
      </c>
      <c r="D659" t="s">
        <v>45</v>
      </c>
      <c r="E659" t="s">
        <v>16</v>
      </c>
      <c r="F659">
        <v>1</v>
      </c>
      <c r="G659">
        <v>0</v>
      </c>
      <c r="H659" t="s">
        <v>28</v>
      </c>
      <c r="I659" t="b">
        <v>0</v>
      </c>
      <c r="J659">
        <f t="shared" si="20"/>
        <v>1</v>
      </c>
      <c r="K659" t="str">
        <f t="shared" si="21"/>
        <v>Home Win</v>
      </c>
    </row>
    <row r="660" spans="1:11" x14ac:dyDescent="0.35">
      <c r="A660">
        <v>659</v>
      </c>
      <c r="B660">
        <v>2006</v>
      </c>
      <c r="C660" s="1">
        <v>38882</v>
      </c>
      <c r="D660" t="s">
        <v>45</v>
      </c>
      <c r="E660" t="s">
        <v>27</v>
      </c>
      <c r="F660">
        <v>4</v>
      </c>
      <c r="G660">
        <v>0</v>
      </c>
      <c r="H660" t="s">
        <v>108</v>
      </c>
      <c r="I660" t="b">
        <v>0</v>
      </c>
      <c r="J660">
        <f t="shared" si="20"/>
        <v>4</v>
      </c>
      <c r="K660" t="str">
        <f t="shared" si="21"/>
        <v>Home Win</v>
      </c>
    </row>
    <row r="661" spans="1:11" x14ac:dyDescent="0.35">
      <c r="A661">
        <v>660</v>
      </c>
      <c r="B661">
        <v>2006</v>
      </c>
      <c r="C661" s="1">
        <v>38882</v>
      </c>
      <c r="D661" t="s">
        <v>45</v>
      </c>
      <c r="E661" t="s">
        <v>79</v>
      </c>
      <c r="F661">
        <v>2</v>
      </c>
      <c r="G661">
        <v>2</v>
      </c>
      <c r="H661" t="s">
        <v>92</v>
      </c>
      <c r="I661" t="b">
        <v>0</v>
      </c>
      <c r="J661">
        <f t="shared" si="20"/>
        <v>4</v>
      </c>
      <c r="K661" t="str">
        <f t="shared" si="21"/>
        <v>Draw</v>
      </c>
    </row>
    <row r="662" spans="1:11" x14ac:dyDescent="0.35">
      <c r="A662">
        <v>661</v>
      </c>
      <c r="B662">
        <v>2006</v>
      </c>
      <c r="C662" s="1">
        <v>38882</v>
      </c>
      <c r="D662" t="s">
        <v>45</v>
      </c>
      <c r="E662" t="s">
        <v>13</v>
      </c>
      <c r="F662">
        <v>1</v>
      </c>
      <c r="G662">
        <v>0</v>
      </c>
      <c r="H662" t="s">
        <v>26</v>
      </c>
      <c r="I662" t="b">
        <v>1</v>
      </c>
      <c r="J662">
        <f t="shared" si="20"/>
        <v>1</v>
      </c>
      <c r="K662" t="str">
        <f t="shared" si="21"/>
        <v>Home Win</v>
      </c>
    </row>
    <row r="663" spans="1:11" x14ac:dyDescent="0.35">
      <c r="A663">
        <v>662</v>
      </c>
      <c r="B663">
        <v>2006</v>
      </c>
      <c r="C663" s="1">
        <v>38883</v>
      </c>
      <c r="D663" t="s">
        <v>45</v>
      </c>
      <c r="E663" t="s">
        <v>99</v>
      </c>
      <c r="F663">
        <v>3</v>
      </c>
      <c r="G663">
        <v>0</v>
      </c>
      <c r="H663" t="s">
        <v>90</v>
      </c>
      <c r="I663" t="b">
        <v>0</v>
      </c>
      <c r="J663">
        <f t="shared" si="20"/>
        <v>3</v>
      </c>
      <c r="K663" t="str">
        <f t="shared" si="21"/>
        <v>Home Win</v>
      </c>
    </row>
    <row r="664" spans="1:11" x14ac:dyDescent="0.35">
      <c r="A664">
        <v>663</v>
      </c>
      <c r="B664">
        <v>2006</v>
      </c>
      <c r="C664" s="1">
        <v>38883</v>
      </c>
      <c r="D664" t="s">
        <v>45</v>
      </c>
      <c r="E664" t="s">
        <v>22</v>
      </c>
      <c r="F664">
        <v>2</v>
      </c>
      <c r="G664">
        <v>0</v>
      </c>
      <c r="H664" t="s">
        <v>101</v>
      </c>
      <c r="I664" t="b">
        <v>0</v>
      </c>
      <c r="J664">
        <f t="shared" si="20"/>
        <v>2</v>
      </c>
      <c r="K664" t="str">
        <f t="shared" si="21"/>
        <v>Home Win</v>
      </c>
    </row>
    <row r="665" spans="1:11" x14ac:dyDescent="0.35">
      <c r="A665">
        <v>664</v>
      </c>
      <c r="B665">
        <v>2006</v>
      </c>
      <c r="C665" s="1">
        <v>38883</v>
      </c>
      <c r="D665" t="s">
        <v>45</v>
      </c>
      <c r="E665" t="s">
        <v>17</v>
      </c>
      <c r="F665">
        <v>1</v>
      </c>
      <c r="G665">
        <v>0</v>
      </c>
      <c r="H665" t="s">
        <v>51</v>
      </c>
      <c r="I665" t="b">
        <v>0</v>
      </c>
      <c r="J665">
        <f t="shared" si="20"/>
        <v>1</v>
      </c>
      <c r="K665" t="str">
        <f t="shared" si="21"/>
        <v>Home Win</v>
      </c>
    </row>
    <row r="666" spans="1:11" x14ac:dyDescent="0.35">
      <c r="A666">
        <v>665</v>
      </c>
      <c r="B666">
        <v>2006</v>
      </c>
      <c r="C666" s="1">
        <v>38884</v>
      </c>
      <c r="D666" t="s">
        <v>45</v>
      </c>
      <c r="E666" t="s">
        <v>9</v>
      </c>
      <c r="F666">
        <v>6</v>
      </c>
      <c r="G666">
        <v>0</v>
      </c>
      <c r="H666" t="s">
        <v>103</v>
      </c>
      <c r="I666" t="b">
        <v>0</v>
      </c>
      <c r="J666">
        <f t="shared" si="20"/>
        <v>6</v>
      </c>
      <c r="K666" t="str">
        <f t="shared" si="21"/>
        <v>Home Win</v>
      </c>
    </row>
    <row r="667" spans="1:11" x14ac:dyDescent="0.35">
      <c r="A667">
        <v>666</v>
      </c>
      <c r="B667">
        <v>2006</v>
      </c>
      <c r="C667" s="1">
        <v>38884</v>
      </c>
      <c r="D667" t="s">
        <v>45</v>
      </c>
      <c r="E667" t="s">
        <v>25</v>
      </c>
      <c r="F667">
        <v>2</v>
      </c>
      <c r="G667">
        <v>1</v>
      </c>
      <c r="H667" t="s">
        <v>102</v>
      </c>
      <c r="I667" t="b">
        <v>0</v>
      </c>
      <c r="J667">
        <f t="shared" si="20"/>
        <v>3</v>
      </c>
      <c r="K667" t="str">
        <f t="shared" si="21"/>
        <v>Home Win</v>
      </c>
    </row>
    <row r="668" spans="1:11" x14ac:dyDescent="0.35">
      <c r="A668">
        <v>667</v>
      </c>
      <c r="B668">
        <v>2006</v>
      </c>
      <c r="C668" s="1">
        <v>38884</v>
      </c>
      <c r="D668" t="s">
        <v>45</v>
      </c>
      <c r="E668" t="s">
        <v>24</v>
      </c>
      <c r="F668">
        <v>0</v>
      </c>
      <c r="G668">
        <v>0</v>
      </c>
      <c r="H668" t="s">
        <v>104</v>
      </c>
      <c r="I668" t="b">
        <v>0</v>
      </c>
      <c r="J668">
        <f t="shared" si="20"/>
        <v>0</v>
      </c>
      <c r="K668" t="str">
        <f t="shared" si="21"/>
        <v>Draw</v>
      </c>
    </row>
    <row r="669" spans="1:11" x14ac:dyDescent="0.35">
      <c r="A669">
        <v>668</v>
      </c>
      <c r="B669">
        <v>2006</v>
      </c>
      <c r="C669" s="1">
        <v>38885</v>
      </c>
      <c r="D669" t="s">
        <v>45</v>
      </c>
      <c r="E669" t="s">
        <v>23</v>
      </c>
      <c r="F669">
        <v>2</v>
      </c>
      <c r="G669">
        <v>0</v>
      </c>
      <c r="H669" t="s">
        <v>80</v>
      </c>
      <c r="I669" t="b">
        <v>0</v>
      </c>
      <c r="J669">
        <f t="shared" si="20"/>
        <v>2</v>
      </c>
      <c r="K669" t="str">
        <f t="shared" si="21"/>
        <v>Home Win</v>
      </c>
    </row>
    <row r="670" spans="1:11" x14ac:dyDescent="0.35">
      <c r="A670">
        <v>669</v>
      </c>
      <c r="B670">
        <v>2006</v>
      </c>
      <c r="C670" s="1">
        <v>38885</v>
      </c>
      <c r="D670" t="s">
        <v>45</v>
      </c>
      <c r="E670" t="s">
        <v>105</v>
      </c>
      <c r="F670">
        <v>0</v>
      </c>
      <c r="G670">
        <v>2</v>
      </c>
      <c r="H670" t="s">
        <v>106</v>
      </c>
      <c r="I670" t="b">
        <v>0</v>
      </c>
      <c r="J670">
        <f t="shared" si="20"/>
        <v>2</v>
      </c>
      <c r="K670" t="str">
        <f t="shared" si="21"/>
        <v>Away Win</v>
      </c>
    </row>
    <row r="671" spans="1:11" x14ac:dyDescent="0.35">
      <c r="A671">
        <v>670</v>
      </c>
      <c r="B671">
        <v>2006</v>
      </c>
      <c r="C671" s="1">
        <v>38885</v>
      </c>
      <c r="D671" t="s">
        <v>45</v>
      </c>
      <c r="E671" t="s">
        <v>11</v>
      </c>
      <c r="F671">
        <v>1</v>
      </c>
      <c r="G671">
        <v>1</v>
      </c>
      <c r="H671" t="s">
        <v>46</v>
      </c>
      <c r="I671" t="b">
        <v>0</v>
      </c>
      <c r="J671">
        <f t="shared" si="20"/>
        <v>2</v>
      </c>
      <c r="K671" t="str">
        <f t="shared" si="21"/>
        <v>Draw</v>
      </c>
    </row>
    <row r="672" spans="1:11" x14ac:dyDescent="0.35">
      <c r="A672">
        <v>671</v>
      </c>
      <c r="B672">
        <v>2006</v>
      </c>
      <c r="C672" s="1">
        <v>38886</v>
      </c>
      <c r="D672" t="s">
        <v>45</v>
      </c>
      <c r="E672" t="s">
        <v>95</v>
      </c>
      <c r="F672">
        <v>0</v>
      </c>
      <c r="G672">
        <v>0</v>
      </c>
      <c r="H672" t="s">
        <v>28</v>
      </c>
      <c r="I672" t="b">
        <v>0</v>
      </c>
      <c r="J672">
        <f t="shared" si="20"/>
        <v>0</v>
      </c>
      <c r="K672" t="str">
        <f t="shared" si="21"/>
        <v>Draw</v>
      </c>
    </row>
    <row r="673" spans="1:11" x14ac:dyDescent="0.35">
      <c r="A673">
        <v>672</v>
      </c>
      <c r="B673">
        <v>2006</v>
      </c>
      <c r="C673" s="1">
        <v>38886</v>
      </c>
      <c r="D673" t="s">
        <v>45</v>
      </c>
      <c r="E673" t="s">
        <v>16</v>
      </c>
      <c r="F673">
        <v>2</v>
      </c>
      <c r="G673">
        <v>0</v>
      </c>
      <c r="H673" t="s">
        <v>75</v>
      </c>
      <c r="I673" t="b">
        <v>0</v>
      </c>
      <c r="J673">
        <f t="shared" si="20"/>
        <v>2</v>
      </c>
      <c r="K673" t="str">
        <f t="shared" si="21"/>
        <v>Home Win</v>
      </c>
    </row>
    <row r="674" spans="1:11" x14ac:dyDescent="0.35">
      <c r="A674">
        <v>673</v>
      </c>
      <c r="B674">
        <v>2006</v>
      </c>
      <c r="C674" s="1">
        <v>38886</v>
      </c>
      <c r="D674" t="s">
        <v>45</v>
      </c>
      <c r="E674" t="s">
        <v>14</v>
      </c>
      <c r="F674">
        <v>1</v>
      </c>
      <c r="G674">
        <v>1</v>
      </c>
      <c r="H674" t="s">
        <v>64</v>
      </c>
      <c r="I674" t="b">
        <v>0</v>
      </c>
      <c r="J674">
        <f t="shared" si="20"/>
        <v>2</v>
      </c>
      <c r="K674" t="str">
        <f t="shared" si="21"/>
        <v>Draw</v>
      </c>
    </row>
    <row r="675" spans="1:11" x14ac:dyDescent="0.35">
      <c r="A675">
        <v>674</v>
      </c>
      <c r="B675">
        <v>2006</v>
      </c>
      <c r="C675" s="1">
        <v>38887</v>
      </c>
      <c r="D675" t="s">
        <v>45</v>
      </c>
      <c r="E675" t="s">
        <v>107</v>
      </c>
      <c r="F675">
        <v>0</v>
      </c>
      <c r="G675">
        <v>2</v>
      </c>
      <c r="H675" t="s">
        <v>18</v>
      </c>
      <c r="I675" t="b">
        <v>0</v>
      </c>
      <c r="J675">
        <f t="shared" si="20"/>
        <v>2</v>
      </c>
      <c r="K675" t="str">
        <f t="shared" si="21"/>
        <v>Away Win</v>
      </c>
    </row>
    <row r="676" spans="1:11" x14ac:dyDescent="0.35">
      <c r="A676">
        <v>675</v>
      </c>
      <c r="B676">
        <v>2006</v>
      </c>
      <c r="C676" s="1">
        <v>38887</v>
      </c>
      <c r="D676" t="s">
        <v>45</v>
      </c>
      <c r="E676" t="s">
        <v>92</v>
      </c>
      <c r="F676">
        <v>0</v>
      </c>
      <c r="G676">
        <v>4</v>
      </c>
      <c r="H676" t="s">
        <v>108</v>
      </c>
      <c r="I676" t="b">
        <v>0</v>
      </c>
      <c r="J676">
        <f t="shared" si="20"/>
        <v>4</v>
      </c>
      <c r="K676" t="str">
        <f t="shared" si="21"/>
        <v>Away Win</v>
      </c>
    </row>
    <row r="677" spans="1:11" x14ac:dyDescent="0.35">
      <c r="A677">
        <v>676</v>
      </c>
      <c r="B677">
        <v>2006</v>
      </c>
      <c r="C677" s="1">
        <v>38887</v>
      </c>
      <c r="D677" t="s">
        <v>45</v>
      </c>
      <c r="E677" t="s">
        <v>27</v>
      </c>
      <c r="F677">
        <v>3</v>
      </c>
      <c r="G677">
        <v>1</v>
      </c>
      <c r="H677" t="s">
        <v>79</v>
      </c>
      <c r="I677" t="b">
        <v>0</v>
      </c>
      <c r="J677">
        <f t="shared" si="20"/>
        <v>4</v>
      </c>
      <c r="K677" t="str">
        <f t="shared" si="21"/>
        <v>Home Win</v>
      </c>
    </row>
    <row r="678" spans="1:11" x14ac:dyDescent="0.35">
      <c r="A678">
        <v>677</v>
      </c>
      <c r="B678">
        <v>2006</v>
      </c>
      <c r="C678" s="1">
        <v>38888</v>
      </c>
      <c r="D678" t="s">
        <v>45</v>
      </c>
      <c r="E678" t="s">
        <v>13</v>
      </c>
      <c r="F678">
        <v>3</v>
      </c>
      <c r="G678">
        <v>0</v>
      </c>
      <c r="H678" t="s">
        <v>99</v>
      </c>
      <c r="I678" t="b">
        <v>1</v>
      </c>
      <c r="J678">
        <f t="shared" si="20"/>
        <v>3</v>
      </c>
      <c r="K678" t="str">
        <f t="shared" si="21"/>
        <v>Home Win</v>
      </c>
    </row>
    <row r="679" spans="1:11" x14ac:dyDescent="0.35">
      <c r="A679">
        <v>678</v>
      </c>
      <c r="B679">
        <v>2006</v>
      </c>
      <c r="C679" s="1">
        <v>38888</v>
      </c>
      <c r="D679" t="s">
        <v>45</v>
      </c>
      <c r="E679" t="s">
        <v>90</v>
      </c>
      <c r="F679">
        <v>1</v>
      </c>
      <c r="G679">
        <v>2</v>
      </c>
      <c r="H679" t="s">
        <v>26</v>
      </c>
      <c r="I679" t="b">
        <v>0</v>
      </c>
      <c r="J679">
        <f t="shared" si="20"/>
        <v>3</v>
      </c>
      <c r="K679" t="str">
        <f t="shared" si="21"/>
        <v>Away Win</v>
      </c>
    </row>
    <row r="680" spans="1:11" x14ac:dyDescent="0.35">
      <c r="A680">
        <v>679</v>
      </c>
      <c r="B680">
        <v>2006</v>
      </c>
      <c r="C680" s="1">
        <v>38888</v>
      </c>
      <c r="D680" t="s">
        <v>45</v>
      </c>
      <c r="E680" t="s">
        <v>17</v>
      </c>
      <c r="F680">
        <v>2</v>
      </c>
      <c r="G680">
        <v>2</v>
      </c>
      <c r="H680" t="s">
        <v>22</v>
      </c>
      <c r="I680" t="b">
        <v>0</v>
      </c>
      <c r="J680">
        <f t="shared" si="20"/>
        <v>4</v>
      </c>
      <c r="K680" t="str">
        <f t="shared" si="21"/>
        <v>Draw</v>
      </c>
    </row>
    <row r="681" spans="1:11" x14ac:dyDescent="0.35">
      <c r="A681">
        <v>680</v>
      </c>
      <c r="B681">
        <v>2006</v>
      </c>
      <c r="C681" s="1">
        <v>38888</v>
      </c>
      <c r="D681" t="s">
        <v>45</v>
      </c>
      <c r="E681" t="s">
        <v>51</v>
      </c>
      <c r="F681">
        <v>2</v>
      </c>
      <c r="G681">
        <v>0</v>
      </c>
      <c r="H681" t="s">
        <v>101</v>
      </c>
      <c r="I681" t="b">
        <v>0</v>
      </c>
      <c r="J681">
        <f t="shared" si="20"/>
        <v>2</v>
      </c>
      <c r="K681" t="str">
        <f t="shared" si="21"/>
        <v>Home Win</v>
      </c>
    </row>
    <row r="682" spans="1:11" x14ac:dyDescent="0.35">
      <c r="A682">
        <v>681</v>
      </c>
      <c r="B682">
        <v>2006</v>
      </c>
      <c r="C682" s="1">
        <v>38889</v>
      </c>
      <c r="D682" t="s">
        <v>45</v>
      </c>
      <c r="E682" t="s">
        <v>80</v>
      </c>
      <c r="F682">
        <v>1</v>
      </c>
      <c r="G682">
        <v>1</v>
      </c>
      <c r="H682" t="s">
        <v>104</v>
      </c>
      <c r="I682" t="b">
        <v>0</v>
      </c>
      <c r="J682">
        <f t="shared" si="20"/>
        <v>2</v>
      </c>
      <c r="K682" t="str">
        <f t="shared" si="21"/>
        <v>Draw</v>
      </c>
    </row>
    <row r="683" spans="1:11" x14ac:dyDescent="0.35">
      <c r="A683">
        <v>682</v>
      </c>
      <c r="B683">
        <v>2006</v>
      </c>
      <c r="C683" s="1">
        <v>38889</v>
      </c>
      <c r="D683" t="s">
        <v>45</v>
      </c>
      <c r="E683" t="s">
        <v>23</v>
      </c>
      <c r="F683">
        <v>2</v>
      </c>
      <c r="G683">
        <v>1</v>
      </c>
      <c r="H683" t="s">
        <v>24</v>
      </c>
      <c r="I683" t="b">
        <v>0</v>
      </c>
      <c r="J683">
        <f t="shared" si="20"/>
        <v>3</v>
      </c>
      <c r="K683" t="str">
        <f t="shared" si="21"/>
        <v>Home Win</v>
      </c>
    </row>
    <row r="684" spans="1:11" x14ac:dyDescent="0.35">
      <c r="A684">
        <v>683</v>
      </c>
      <c r="B684">
        <v>2006</v>
      </c>
      <c r="C684" s="1">
        <v>38889</v>
      </c>
      <c r="D684" t="s">
        <v>45</v>
      </c>
      <c r="E684" t="s">
        <v>25</v>
      </c>
      <c r="F684">
        <v>0</v>
      </c>
      <c r="G684">
        <v>0</v>
      </c>
      <c r="H684" t="s">
        <v>9</v>
      </c>
      <c r="I684" t="b">
        <v>0</v>
      </c>
      <c r="J684">
        <f t="shared" si="20"/>
        <v>0</v>
      </c>
      <c r="K684" t="str">
        <f t="shared" si="21"/>
        <v>Draw</v>
      </c>
    </row>
    <row r="685" spans="1:11" x14ac:dyDescent="0.35">
      <c r="A685">
        <v>684</v>
      </c>
      <c r="B685">
        <v>2006</v>
      </c>
      <c r="C685" s="1">
        <v>38889</v>
      </c>
      <c r="D685" t="s">
        <v>45</v>
      </c>
      <c r="E685" t="s">
        <v>102</v>
      </c>
      <c r="F685">
        <v>3</v>
      </c>
      <c r="G685">
        <v>2</v>
      </c>
      <c r="H685" t="s">
        <v>103</v>
      </c>
      <c r="I685" t="b">
        <v>0</v>
      </c>
      <c r="J685">
        <f t="shared" si="20"/>
        <v>5</v>
      </c>
      <c r="K685" t="str">
        <f t="shared" si="21"/>
        <v>Home Win</v>
      </c>
    </row>
    <row r="686" spans="1:11" x14ac:dyDescent="0.35">
      <c r="A686">
        <v>685</v>
      </c>
      <c r="B686">
        <v>2006</v>
      </c>
      <c r="C686" s="1">
        <v>38890</v>
      </c>
      <c r="D686" t="s">
        <v>45</v>
      </c>
      <c r="E686" t="s">
        <v>105</v>
      </c>
      <c r="F686">
        <v>0</v>
      </c>
      <c r="G686">
        <v>2</v>
      </c>
      <c r="H686" t="s">
        <v>11</v>
      </c>
      <c r="I686" t="b">
        <v>0</v>
      </c>
      <c r="J686">
        <f t="shared" si="20"/>
        <v>2</v>
      </c>
      <c r="K686" t="str">
        <f t="shared" si="21"/>
        <v>Away Win</v>
      </c>
    </row>
    <row r="687" spans="1:11" x14ac:dyDescent="0.35">
      <c r="A687">
        <v>686</v>
      </c>
      <c r="B687">
        <v>2006</v>
      </c>
      <c r="C687" s="1">
        <v>38890</v>
      </c>
      <c r="D687" t="s">
        <v>45</v>
      </c>
      <c r="E687" t="s">
        <v>106</v>
      </c>
      <c r="F687">
        <v>2</v>
      </c>
      <c r="G687">
        <v>1</v>
      </c>
      <c r="H687" t="s">
        <v>46</v>
      </c>
      <c r="I687" t="b">
        <v>0</v>
      </c>
      <c r="J687">
        <f t="shared" si="20"/>
        <v>3</v>
      </c>
      <c r="K687" t="str">
        <f t="shared" si="21"/>
        <v>Home Win</v>
      </c>
    </row>
    <row r="688" spans="1:11" x14ac:dyDescent="0.35">
      <c r="A688">
        <v>687</v>
      </c>
      <c r="B688">
        <v>2006</v>
      </c>
      <c r="C688" s="1">
        <v>38890</v>
      </c>
      <c r="D688" t="s">
        <v>45</v>
      </c>
      <c r="E688" t="s">
        <v>95</v>
      </c>
      <c r="F688">
        <v>1</v>
      </c>
      <c r="G688">
        <v>4</v>
      </c>
      <c r="H688" t="s">
        <v>16</v>
      </c>
      <c r="I688" t="b">
        <v>0</v>
      </c>
      <c r="J688">
        <f t="shared" si="20"/>
        <v>5</v>
      </c>
      <c r="K688" t="str">
        <f t="shared" si="21"/>
        <v>Away Win</v>
      </c>
    </row>
    <row r="689" spans="1:11" x14ac:dyDescent="0.35">
      <c r="A689">
        <v>688</v>
      </c>
      <c r="B689">
        <v>2006</v>
      </c>
      <c r="C689" s="1">
        <v>38890</v>
      </c>
      <c r="D689" t="s">
        <v>45</v>
      </c>
      <c r="E689" t="s">
        <v>28</v>
      </c>
      <c r="F689">
        <v>2</v>
      </c>
      <c r="G689">
        <v>2</v>
      </c>
      <c r="H689" t="s">
        <v>75</v>
      </c>
      <c r="I689" t="b">
        <v>0</v>
      </c>
      <c r="J689">
        <f t="shared" si="20"/>
        <v>4</v>
      </c>
      <c r="K689" t="str">
        <f t="shared" si="21"/>
        <v>Draw</v>
      </c>
    </row>
    <row r="690" spans="1:11" x14ac:dyDescent="0.35">
      <c r="A690">
        <v>689</v>
      </c>
      <c r="B690">
        <v>2006</v>
      </c>
      <c r="C690" s="1">
        <v>38891</v>
      </c>
      <c r="D690" t="s">
        <v>45</v>
      </c>
      <c r="E690" t="s">
        <v>108</v>
      </c>
      <c r="F690">
        <v>1</v>
      </c>
      <c r="G690">
        <v>0</v>
      </c>
      <c r="H690" t="s">
        <v>79</v>
      </c>
      <c r="I690" t="b">
        <v>0</v>
      </c>
      <c r="J690">
        <f t="shared" si="20"/>
        <v>1</v>
      </c>
      <c r="K690" t="str">
        <f t="shared" si="21"/>
        <v>Home Win</v>
      </c>
    </row>
    <row r="691" spans="1:11" x14ac:dyDescent="0.35">
      <c r="A691">
        <v>690</v>
      </c>
      <c r="B691">
        <v>2006</v>
      </c>
      <c r="C691" s="1">
        <v>38891</v>
      </c>
      <c r="D691" t="s">
        <v>45</v>
      </c>
      <c r="E691" t="s">
        <v>92</v>
      </c>
      <c r="F691">
        <v>0</v>
      </c>
      <c r="G691">
        <v>1</v>
      </c>
      <c r="H691" t="s">
        <v>27</v>
      </c>
      <c r="I691" t="b">
        <v>0</v>
      </c>
      <c r="J691">
        <f t="shared" si="20"/>
        <v>1</v>
      </c>
      <c r="K691" t="str">
        <f t="shared" si="21"/>
        <v>Away Win</v>
      </c>
    </row>
    <row r="692" spans="1:11" x14ac:dyDescent="0.35">
      <c r="A692">
        <v>691</v>
      </c>
      <c r="B692">
        <v>2006</v>
      </c>
      <c r="C692" s="1">
        <v>38891</v>
      </c>
      <c r="D692" t="s">
        <v>45</v>
      </c>
      <c r="E692" t="s">
        <v>107</v>
      </c>
      <c r="F692">
        <v>0</v>
      </c>
      <c r="G692">
        <v>2</v>
      </c>
      <c r="H692" t="s">
        <v>14</v>
      </c>
      <c r="I692" t="b">
        <v>0</v>
      </c>
      <c r="J692">
        <f t="shared" si="20"/>
        <v>2</v>
      </c>
      <c r="K692" t="str">
        <f t="shared" si="21"/>
        <v>Away Win</v>
      </c>
    </row>
    <row r="693" spans="1:11" x14ac:dyDescent="0.35">
      <c r="A693">
        <v>692</v>
      </c>
      <c r="B693">
        <v>2006</v>
      </c>
      <c r="C693" s="1">
        <v>38891</v>
      </c>
      <c r="D693" t="s">
        <v>45</v>
      </c>
      <c r="E693" t="s">
        <v>18</v>
      </c>
      <c r="F693">
        <v>2</v>
      </c>
      <c r="G693">
        <v>0</v>
      </c>
      <c r="H693" t="s">
        <v>64</v>
      </c>
      <c r="I693" t="b">
        <v>0</v>
      </c>
      <c r="J693">
        <f t="shared" si="20"/>
        <v>2</v>
      </c>
      <c r="K693" t="str">
        <f t="shared" si="21"/>
        <v>Home Win</v>
      </c>
    </row>
    <row r="694" spans="1:11" x14ac:dyDescent="0.35">
      <c r="A694">
        <v>693</v>
      </c>
      <c r="B694">
        <v>2006</v>
      </c>
      <c r="C694" s="1">
        <v>38892</v>
      </c>
      <c r="D694" t="s">
        <v>54</v>
      </c>
      <c r="E694" t="s">
        <v>13</v>
      </c>
      <c r="F694">
        <v>2</v>
      </c>
      <c r="G694">
        <v>0</v>
      </c>
      <c r="H694" t="s">
        <v>17</v>
      </c>
      <c r="I694" t="b">
        <v>1</v>
      </c>
      <c r="J694">
        <f t="shared" si="20"/>
        <v>2</v>
      </c>
      <c r="K694" t="str">
        <f t="shared" si="21"/>
        <v>Home Win</v>
      </c>
    </row>
    <row r="695" spans="1:11" x14ac:dyDescent="0.35">
      <c r="A695">
        <v>694</v>
      </c>
      <c r="B695">
        <v>2006</v>
      </c>
      <c r="C695" s="1">
        <v>38892</v>
      </c>
      <c r="D695" t="s">
        <v>54</v>
      </c>
      <c r="E695" t="s">
        <v>9</v>
      </c>
      <c r="F695">
        <v>2</v>
      </c>
      <c r="G695">
        <v>1</v>
      </c>
      <c r="H695" t="s">
        <v>24</v>
      </c>
      <c r="I695" t="b">
        <v>0</v>
      </c>
      <c r="J695">
        <f t="shared" si="20"/>
        <v>3</v>
      </c>
      <c r="K695" t="str">
        <f t="shared" si="21"/>
        <v>Home Win</v>
      </c>
    </row>
    <row r="696" spans="1:11" x14ac:dyDescent="0.35">
      <c r="A696">
        <v>695</v>
      </c>
      <c r="B696">
        <v>2006</v>
      </c>
      <c r="C696" s="1">
        <v>38893</v>
      </c>
      <c r="D696" t="s">
        <v>54</v>
      </c>
      <c r="E696" t="s">
        <v>22</v>
      </c>
      <c r="F696">
        <v>1</v>
      </c>
      <c r="G696">
        <v>0</v>
      </c>
      <c r="H696" t="s">
        <v>99</v>
      </c>
      <c r="I696" t="b">
        <v>0</v>
      </c>
      <c r="J696">
        <f t="shared" si="20"/>
        <v>1</v>
      </c>
      <c r="K696" t="str">
        <f t="shared" si="21"/>
        <v>Home Win</v>
      </c>
    </row>
    <row r="697" spans="1:11" x14ac:dyDescent="0.35">
      <c r="A697">
        <v>696</v>
      </c>
      <c r="B697">
        <v>2006</v>
      </c>
      <c r="C697" s="1">
        <v>38893</v>
      </c>
      <c r="D697" t="s">
        <v>54</v>
      </c>
      <c r="E697" t="s">
        <v>23</v>
      </c>
      <c r="F697">
        <v>1</v>
      </c>
      <c r="G697">
        <v>0</v>
      </c>
      <c r="H697" t="s">
        <v>25</v>
      </c>
      <c r="I697" t="b">
        <v>0</v>
      </c>
      <c r="J697">
        <f t="shared" si="20"/>
        <v>1</v>
      </c>
      <c r="K697" t="str">
        <f t="shared" si="21"/>
        <v>Home Win</v>
      </c>
    </row>
    <row r="698" spans="1:11" x14ac:dyDescent="0.35">
      <c r="A698">
        <v>697</v>
      </c>
      <c r="B698">
        <v>2006</v>
      </c>
      <c r="C698" s="1">
        <v>38894</v>
      </c>
      <c r="D698" t="s">
        <v>54</v>
      </c>
      <c r="E698" t="s">
        <v>11</v>
      </c>
      <c r="F698">
        <v>1</v>
      </c>
      <c r="G698">
        <v>0</v>
      </c>
      <c r="H698" t="s">
        <v>75</v>
      </c>
      <c r="I698" t="b">
        <v>0</v>
      </c>
      <c r="J698">
        <f t="shared" si="20"/>
        <v>1</v>
      </c>
      <c r="K698" t="str">
        <f t="shared" si="21"/>
        <v>Home Win</v>
      </c>
    </row>
    <row r="699" spans="1:11" x14ac:dyDescent="0.35">
      <c r="A699">
        <v>698</v>
      </c>
      <c r="B699">
        <v>2006</v>
      </c>
      <c r="C699" s="1">
        <v>38894</v>
      </c>
      <c r="D699" t="s">
        <v>54</v>
      </c>
      <c r="E699" t="s">
        <v>18</v>
      </c>
      <c r="F699">
        <v>0</v>
      </c>
      <c r="G699">
        <v>0</v>
      </c>
      <c r="H699" t="s">
        <v>108</v>
      </c>
      <c r="I699" t="b">
        <v>0</v>
      </c>
      <c r="J699">
        <f t="shared" si="20"/>
        <v>0</v>
      </c>
      <c r="K699" t="str">
        <f t="shared" si="21"/>
        <v>Draw</v>
      </c>
    </row>
    <row r="700" spans="1:11" x14ac:dyDescent="0.35">
      <c r="A700">
        <v>699</v>
      </c>
      <c r="B700">
        <v>2006</v>
      </c>
      <c r="C700" s="1">
        <v>38895</v>
      </c>
      <c r="D700" t="s">
        <v>54</v>
      </c>
      <c r="E700" t="s">
        <v>16</v>
      </c>
      <c r="F700">
        <v>3</v>
      </c>
      <c r="G700">
        <v>0</v>
      </c>
      <c r="H700" t="s">
        <v>106</v>
      </c>
      <c r="I700" t="b">
        <v>0</v>
      </c>
      <c r="J700">
        <f t="shared" si="20"/>
        <v>3</v>
      </c>
      <c r="K700" t="str">
        <f t="shared" si="21"/>
        <v>Home Win</v>
      </c>
    </row>
    <row r="701" spans="1:11" x14ac:dyDescent="0.35">
      <c r="A701">
        <v>700</v>
      </c>
      <c r="B701">
        <v>2006</v>
      </c>
      <c r="C701" s="1">
        <v>38895</v>
      </c>
      <c r="D701" t="s">
        <v>54</v>
      </c>
      <c r="E701" t="s">
        <v>27</v>
      </c>
      <c r="F701">
        <v>1</v>
      </c>
      <c r="G701">
        <v>3</v>
      </c>
      <c r="H701" t="s">
        <v>14</v>
      </c>
      <c r="I701" t="b">
        <v>0</v>
      </c>
      <c r="J701">
        <f t="shared" si="20"/>
        <v>4</v>
      </c>
      <c r="K701" t="str">
        <f t="shared" si="21"/>
        <v>Away Win</v>
      </c>
    </row>
    <row r="702" spans="1:11" x14ac:dyDescent="0.35">
      <c r="A702">
        <v>701</v>
      </c>
      <c r="B702">
        <v>2006</v>
      </c>
      <c r="C702" s="1">
        <v>38898</v>
      </c>
      <c r="D702" t="s">
        <v>56</v>
      </c>
      <c r="E702" t="s">
        <v>13</v>
      </c>
      <c r="F702">
        <v>1</v>
      </c>
      <c r="G702">
        <v>1</v>
      </c>
      <c r="H702" t="s">
        <v>9</v>
      </c>
      <c r="I702" t="b">
        <v>1</v>
      </c>
      <c r="J702">
        <f t="shared" si="20"/>
        <v>2</v>
      </c>
      <c r="K702" t="str">
        <f t="shared" si="21"/>
        <v>Draw</v>
      </c>
    </row>
    <row r="703" spans="1:11" x14ac:dyDescent="0.35">
      <c r="A703">
        <v>702</v>
      </c>
      <c r="B703">
        <v>2006</v>
      </c>
      <c r="C703" s="1">
        <v>38898</v>
      </c>
      <c r="D703" t="s">
        <v>56</v>
      </c>
      <c r="E703" t="s">
        <v>11</v>
      </c>
      <c r="F703">
        <v>3</v>
      </c>
      <c r="G703">
        <v>0</v>
      </c>
      <c r="H703" t="s">
        <v>108</v>
      </c>
      <c r="I703" t="b">
        <v>0</v>
      </c>
      <c r="J703">
        <f t="shared" si="20"/>
        <v>3</v>
      </c>
      <c r="K703" t="str">
        <f t="shared" si="21"/>
        <v>Home Win</v>
      </c>
    </row>
    <row r="704" spans="1:11" x14ac:dyDescent="0.35">
      <c r="A704">
        <v>703</v>
      </c>
      <c r="B704">
        <v>2006</v>
      </c>
      <c r="C704" s="1">
        <v>38899</v>
      </c>
      <c r="D704" t="s">
        <v>56</v>
      </c>
      <c r="E704" t="s">
        <v>22</v>
      </c>
      <c r="F704">
        <v>0</v>
      </c>
      <c r="G704">
        <v>0</v>
      </c>
      <c r="H704" t="s">
        <v>23</v>
      </c>
      <c r="I704" t="b">
        <v>0</v>
      </c>
      <c r="J704">
        <f t="shared" si="20"/>
        <v>0</v>
      </c>
      <c r="K704" t="str">
        <f t="shared" si="21"/>
        <v>Draw</v>
      </c>
    </row>
    <row r="705" spans="1:11" x14ac:dyDescent="0.35">
      <c r="A705">
        <v>704</v>
      </c>
      <c r="B705">
        <v>2006</v>
      </c>
      <c r="C705" s="1">
        <v>38899</v>
      </c>
      <c r="D705" t="s">
        <v>56</v>
      </c>
      <c r="E705" t="s">
        <v>16</v>
      </c>
      <c r="F705">
        <v>0</v>
      </c>
      <c r="G705">
        <v>1</v>
      </c>
      <c r="H705" t="s">
        <v>14</v>
      </c>
      <c r="I705" t="b">
        <v>0</v>
      </c>
      <c r="J705">
        <f t="shared" si="20"/>
        <v>1</v>
      </c>
      <c r="K705" t="str">
        <f t="shared" si="21"/>
        <v>Away Win</v>
      </c>
    </row>
    <row r="706" spans="1:11" x14ac:dyDescent="0.35">
      <c r="A706">
        <v>705</v>
      </c>
      <c r="B706">
        <v>2006</v>
      </c>
      <c r="C706" s="1">
        <v>38902</v>
      </c>
      <c r="D706" t="s">
        <v>52</v>
      </c>
      <c r="E706" t="s">
        <v>13</v>
      </c>
      <c r="F706">
        <v>0</v>
      </c>
      <c r="G706">
        <v>2</v>
      </c>
      <c r="H706" t="s">
        <v>11</v>
      </c>
      <c r="I706" t="b">
        <v>1</v>
      </c>
      <c r="J706">
        <f t="shared" si="20"/>
        <v>2</v>
      </c>
      <c r="K706" t="str">
        <f t="shared" si="21"/>
        <v>Away Win</v>
      </c>
    </row>
    <row r="707" spans="1:11" x14ac:dyDescent="0.35">
      <c r="A707">
        <v>706</v>
      </c>
      <c r="B707">
        <v>2006</v>
      </c>
      <c r="C707" s="1">
        <v>38903</v>
      </c>
      <c r="D707" t="s">
        <v>52</v>
      </c>
      <c r="E707" t="s">
        <v>23</v>
      </c>
      <c r="F707">
        <v>0</v>
      </c>
      <c r="G707">
        <v>1</v>
      </c>
      <c r="H707" t="s">
        <v>14</v>
      </c>
      <c r="I707" t="b">
        <v>0</v>
      </c>
      <c r="J707">
        <f t="shared" ref="J707:J770" si="22">F:F+G:G</f>
        <v>1</v>
      </c>
      <c r="K707" t="str">
        <f t="shared" ref="K707:K770" si="23">IF(F707&gt;G707,"Home Win",IF(F707&lt;G707,"Away Win","Draw"))</f>
        <v>Away Win</v>
      </c>
    </row>
    <row r="708" spans="1:11" x14ac:dyDescent="0.35">
      <c r="A708">
        <v>707</v>
      </c>
      <c r="B708">
        <v>2006</v>
      </c>
      <c r="C708" s="1">
        <v>38906</v>
      </c>
      <c r="D708" t="s">
        <v>57</v>
      </c>
      <c r="E708" t="s">
        <v>13</v>
      </c>
      <c r="F708">
        <v>3</v>
      </c>
      <c r="G708">
        <v>1</v>
      </c>
      <c r="H708" t="s">
        <v>23</v>
      </c>
      <c r="I708" t="b">
        <v>1</v>
      </c>
      <c r="J708">
        <f t="shared" si="22"/>
        <v>4</v>
      </c>
      <c r="K708" t="str">
        <f t="shared" si="23"/>
        <v>Home Win</v>
      </c>
    </row>
    <row r="709" spans="1:11" x14ac:dyDescent="0.35">
      <c r="A709">
        <v>708</v>
      </c>
      <c r="B709">
        <v>2006</v>
      </c>
      <c r="C709" s="1">
        <v>38907</v>
      </c>
      <c r="D709" t="s">
        <v>53</v>
      </c>
      <c r="E709" t="s">
        <v>11</v>
      </c>
      <c r="F709">
        <v>1</v>
      </c>
      <c r="G709">
        <v>1</v>
      </c>
      <c r="H709" t="s">
        <v>14</v>
      </c>
      <c r="I709" t="b">
        <v>0</v>
      </c>
      <c r="J709">
        <f t="shared" si="22"/>
        <v>2</v>
      </c>
      <c r="K709" t="str">
        <f t="shared" si="23"/>
        <v>Draw</v>
      </c>
    </row>
    <row r="710" spans="1:11" x14ac:dyDescent="0.35">
      <c r="A710">
        <v>709</v>
      </c>
      <c r="B710">
        <v>2010</v>
      </c>
      <c r="C710" s="1">
        <v>40340</v>
      </c>
      <c r="D710" t="s">
        <v>45</v>
      </c>
      <c r="E710" t="s">
        <v>31</v>
      </c>
      <c r="F710">
        <v>1</v>
      </c>
      <c r="G710">
        <v>1</v>
      </c>
      <c r="H710" t="s">
        <v>24</v>
      </c>
      <c r="I710" t="b">
        <v>1</v>
      </c>
      <c r="J710">
        <f t="shared" si="22"/>
        <v>2</v>
      </c>
      <c r="K710" t="str">
        <f t="shared" si="23"/>
        <v>Draw</v>
      </c>
    </row>
    <row r="711" spans="1:11" x14ac:dyDescent="0.35">
      <c r="A711">
        <v>710</v>
      </c>
      <c r="B711">
        <v>2010</v>
      </c>
      <c r="C711" s="1">
        <v>40340</v>
      </c>
      <c r="D711" t="s">
        <v>45</v>
      </c>
      <c r="E711" t="s">
        <v>8</v>
      </c>
      <c r="F711">
        <v>0</v>
      </c>
      <c r="G711">
        <v>0</v>
      </c>
      <c r="H711" t="s">
        <v>14</v>
      </c>
      <c r="I711" t="b">
        <v>0</v>
      </c>
      <c r="J711">
        <f t="shared" si="22"/>
        <v>0</v>
      </c>
      <c r="K711" t="str">
        <f t="shared" si="23"/>
        <v>Draw</v>
      </c>
    </row>
    <row r="712" spans="1:11" x14ac:dyDescent="0.35">
      <c r="A712">
        <v>711</v>
      </c>
      <c r="B712">
        <v>2010</v>
      </c>
      <c r="C712" s="1">
        <v>40341</v>
      </c>
      <c r="D712" t="s">
        <v>45</v>
      </c>
      <c r="E712" t="s">
        <v>64</v>
      </c>
      <c r="F712">
        <v>2</v>
      </c>
      <c r="G712">
        <v>0</v>
      </c>
      <c r="H712" t="s">
        <v>93</v>
      </c>
      <c r="I712" t="b">
        <v>0</v>
      </c>
      <c r="J712">
        <f t="shared" si="22"/>
        <v>2</v>
      </c>
      <c r="K712" t="str">
        <f t="shared" si="23"/>
        <v>Home Win</v>
      </c>
    </row>
    <row r="713" spans="1:11" x14ac:dyDescent="0.35">
      <c r="A713">
        <v>712</v>
      </c>
      <c r="B713">
        <v>2010</v>
      </c>
      <c r="C713" s="1">
        <v>40341</v>
      </c>
      <c r="D713" t="s">
        <v>45</v>
      </c>
      <c r="E713" t="s">
        <v>9</v>
      </c>
      <c r="F713">
        <v>1</v>
      </c>
      <c r="G713">
        <v>0</v>
      </c>
      <c r="H713" t="s">
        <v>94</v>
      </c>
      <c r="I713" t="b">
        <v>0</v>
      </c>
      <c r="J713">
        <f t="shared" si="22"/>
        <v>1</v>
      </c>
      <c r="K713" t="str">
        <f t="shared" si="23"/>
        <v>Home Win</v>
      </c>
    </row>
    <row r="714" spans="1:11" x14ac:dyDescent="0.35">
      <c r="A714">
        <v>713</v>
      </c>
      <c r="B714">
        <v>2010</v>
      </c>
      <c r="C714" s="1">
        <v>40341</v>
      </c>
      <c r="D714" t="s">
        <v>45</v>
      </c>
      <c r="E714" t="s">
        <v>22</v>
      </c>
      <c r="F714">
        <v>1</v>
      </c>
      <c r="G714">
        <v>1</v>
      </c>
      <c r="H714" t="s">
        <v>46</v>
      </c>
      <c r="I714" t="b">
        <v>0</v>
      </c>
      <c r="J714">
        <f t="shared" si="22"/>
        <v>2</v>
      </c>
      <c r="K714" t="str">
        <f t="shared" si="23"/>
        <v>Draw</v>
      </c>
    </row>
    <row r="715" spans="1:11" x14ac:dyDescent="0.35">
      <c r="A715">
        <v>714</v>
      </c>
      <c r="B715">
        <v>2010</v>
      </c>
      <c r="C715" s="1">
        <v>40342</v>
      </c>
      <c r="D715" t="s">
        <v>45</v>
      </c>
      <c r="E715" t="s">
        <v>83</v>
      </c>
      <c r="F715">
        <v>0</v>
      </c>
      <c r="G715">
        <v>1</v>
      </c>
      <c r="H715" t="s">
        <v>98</v>
      </c>
      <c r="I715" t="b">
        <v>0</v>
      </c>
      <c r="J715">
        <f t="shared" si="22"/>
        <v>1</v>
      </c>
      <c r="K715" t="str">
        <f t="shared" si="23"/>
        <v>Away Win</v>
      </c>
    </row>
    <row r="716" spans="1:11" x14ac:dyDescent="0.35">
      <c r="A716">
        <v>715</v>
      </c>
      <c r="B716">
        <v>2010</v>
      </c>
      <c r="C716" s="1">
        <v>40342</v>
      </c>
      <c r="D716" t="s">
        <v>45</v>
      </c>
      <c r="E716" t="s">
        <v>103</v>
      </c>
      <c r="F716">
        <v>0</v>
      </c>
      <c r="G716">
        <v>1</v>
      </c>
      <c r="H716" t="s">
        <v>106</v>
      </c>
      <c r="I716" t="b">
        <v>0</v>
      </c>
      <c r="J716">
        <f t="shared" si="22"/>
        <v>1</v>
      </c>
      <c r="K716" t="str">
        <f t="shared" si="23"/>
        <v>Away Win</v>
      </c>
    </row>
    <row r="717" spans="1:11" x14ac:dyDescent="0.35">
      <c r="A717">
        <v>716</v>
      </c>
      <c r="B717">
        <v>2010</v>
      </c>
      <c r="C717" s="1">
        <v>40342</v>
      </c>
      <c r="D717" t="s">
        <v>45</v>
      </c>
      <c r="E717" t="s">
        <v>13</v>
      </c>
      <c r="F717">
        <v>4</v>
      </c>
      <c r="G717">
        <v>0</v>
      </c>
      <c r="H717" t="s">
        <v>75</v>
      </c>
      <c r="I717" t="b">
        <v>0</v>
      </c>
      <c r="J717">
        <f t="shared" si="22"/>
        <v>4</v>
      </c>
      <c r="K717" t="str">
        <f t="shared" si="23"/>
        <v>Home Win</v>
      </c>
    </row>
    <row r="718" spans="1:11" x14ac:dyDescent="0.35">
      <c r="A718">
        <v>717</v>
      </c>
      <c r="B718">
        <v>2010</v>
      </c>
      <c r="C718" s="1">
        <v>40343</v>
      </c>
      <c r="D718" t="s">
        <v>45</v>
      </c>
      <c r="E718" t="s">
        <v>25</v>
      </c>
      <c r="F718">
        <v>2</v>
      </c>
      <c r="G718">
        <v>0</v>
      </c>
      <c r="H718" t="s">
        <v>88</v>
      </c>
      <c r="I718" t="b">
        <v>0</v>
      </c>
      <c r="J718">
        <f t="shared" si="22"/>
        <v>2</v>
      </c>
      <c r="K718" t="str">
        <f t="shared" si="23"/>
        <v>Home Win</v>
      </c>
    </row>
    <row r="719" spans="1:11" x14ac:dyDescent="0.35">
      <c r="A719">
        <v>718</v>
      </c>
      <c r="B719">
        <v>2010</v>
      </c>
      <c r="C719" s="1">
        <v>40343</v>
      </c>
      <c r="D719" t="s">
        <v>45</v>
      </c>
      <c r="E719" t="s">
        <v>95</v>
      </c>
      <c r="F719">
        <v>1</v>
      </c>
      <c r="G719">
        <v>0</v>
      </c>
      <c r="H719" t="s">
        <v>81</v>
      </c>
      <c r="I719" t="b">
        <v>0</v>
      </c>
      <c r="J719">
        <f t="shared" si="22"/>
        <v>1</v>
      </c>
      <c r="K719" t="str">
        <f t="shared" si="23"/>
        <v>Home Win</v>
      </c>
    </row>
    <row r="720" spans="1:11" x14ac:dyDescent="0.35">
      <c r="A720">
        <v>719</v>
      </c>
      <c r="B720">
        <v>2010</v>
      </c>
      <c r="C720" s="1">
        <v>40343</v>
      </c>
      <c r="D720" t="s">
        <v>45</v>
      </c>
      <c r="E720" t="s">
        <v>11</v>
      </c>
      <c r="F720">
        <v>1</v>
      </c>
      <c r="G720">
        <v>1</v>
      </c>
      <c r="H720" t="s">
        <v>51</v>
      </c>
      <c r="I720" t="b">
        <v>0</v>
      </c>
      <c r="J720">
        <f t="shared" si="22"/>
        <v>2</v>
      </c>
      <c r="K720" t="str">
        <f t="shared" si="23"/>
        <v>Draw</v>
      </c>
    </row>
    <row r="721" spans="1:11" x14ac:dyDescent="0.35">
      <c r="A721">
        <v>720</v>
      </c>
      <c r="B721">
        <v>2010</v>
      </c>
      <c r="C721" s="1">
        <v>40344</v>
      </c>
      <c r="D721" t="s">
        <v>45</v>
      </c>
      <c r="E721" t="s">
        <v>82</v>
      </c>
      <c r="F721">
        <v>1</v>
      </c>
      <c r="G721">
        <v>1</v>
      </c>
      <c r="H721" t="s">
        <v>109</v>
      </c>
      <c r="I721" t="b">
        <v>0</v>
      </c>
      <c r="J721">
        <f t="shared" si="22"/>
        <v>2</v>
      </c>
      <c r="K721" t="str">
        <f t="shared" si="23"/>
        <v>Draw</v>
      </c>
    </row>
    <row r="722" spans="1:11" x14ac:dyDescent="0.35">
      <c r="A722">
        <v>721</v>
      </c>
      <c r="B722">
        <v>2010</v>
      </c>
      <c r="C722" s="1">
        <v>40344</v>
      </c>
      <c r="D722" t="s">
        <v>45</v>
      </c>
      <c r="E722" t="s">
        <v>102</v>
      </c>
      <c r="F722">
        <v>0</v>
      </c>
      <c r="G722">
        <v>0</v>
      </c>
      <c r="H722" t="s">
        <v>23</v>
      </c>
      <c r="I722" t="b">
        <v>0</v>
      </c>
      <c r="J722">
        <f t="shared" si="22"/>
        <v>0</v>
      </c>
      <c r="K722" t="str">
        <f t="shared" si="23"/>
        <v>Draw</v>
      </c>
    </row>
    <row r="723" spans="1:11" x14ac:dyDescent="0.35">
      <c r="A723">
        <v>722</v>
      </c>
      <c r="B723">
        <v>2010</v>
      </c>
      <c r="C723" s="1">
        <v>40344</v>
      </c>
      <c r="D723" t="s">
        <v>45</v>
      </c>
      <c r="E723" t="s">
        <v>16</v>
      </c>
      <c r="F723">
        <v>2</v>
      </c>
      <c r="G723">
        <v>1</v>
      </c>
      <c r="H723" t="s">
        <v>69</v>
      </c>
      <c r="I723" t="b">
        <v>0</v>
      </c>
      <c r="J723">
        <f t="shared" si="22"/>
        <v>3</v>
      </c>
      <c r="K723" t="str">
        <f t="shared" si="23"/>
        <v>Home Win</v>
      </c>
    </row>
    <row r="724" spans="1:11" x14ac:dyDescent="0.35">
      <c r="A724">
        <v>723</v>
      </c>
      <c r="B724">
        <v>2010</v>
      </c>
      <c r="C724" s="1">
        <v>40345</v>
      </c>
      <c r="D724" t="s">
        <v>45</v>
      </c>
      <c r="E724" t="s">
        <v>84</v>
      </c>
      <c r="F724">
        <v>0</v>
      </c>
      <c r="G724">
        <v>1</v>
      </c>
      <c r="H724" t="s">
        <v>21</v>
      </c>
      <c r="I724" t="b">
        <v>0</v>
      </c>
      <c r="J724">
        <f t="shared" si="22"/>
        <v>1</v>
      </c>
      <c r="K724" t="str">
        <f t="shared" si="23"/>
        <v>Away Win</v>
      </c>
    </row>
    <row r="725" spans="1:11" x14ac:dyDescent="0.35">
      <c r="A725">
        <v>724</v>
      </c>
      <c r="B725">
        <v>2010</v>
      </c>
      <c r="C725" s="1">
        <v>40345</v>
      </c>
      <c r="D725" t="s">
        <v>45</v>
      </c>
      <c r="E725" t="s">
        <v>27</v>
      </c>
      <c r="F725">
        <v>0</v>
      </c>
      <c r="G725">
        <v>1</v>
      </c>
      <c r="H725" t="s">
        <v>18</v>
      </c>
      <c r="I725" t="b">
        <v>0</v>
      </c>
      <c r="J725">
        <f t="shared" si="22"/>
        <v>1</v>
      </c>
      <c r="K725" t="str">
        <f t="shared" si="23"/>
        <v>Away Win</v>
      </c>
    </row>
    <row r="726" spans="1:11" x14ac:dyDescent="0.35">
      <c r="A726">
        <v>725</v>
      </c>
      <c r="B726">
        <v>2010</v>
      </c>
      <c r="C726" s="1">
        <v>40345</v>
      </c>
      <c r="D726" t="s">
        <v>45</v>
      </c>
      <c r="E726" t="s">
        <v>31</v>
      </c>
      <c r="F726">
        <v>0</v>
      </c>
      <c r="G726">
        <v>3</v>
      </c>
      <c r="H726" t="s">
        <v>8</v>
      </c>
      <c r="I726" t="b">
        <v>1</v>
      </c>
      <c r="J726">
        <f t="shared" si="22"/>
        <v>3</v>
      </c>
      <c r="K726" t="str">
        <f t="shared" si="23"/>
        <v>Away Win</v>
      </c>
    </row>
    <row r="727" spans="1:11" x14ac:dyDescent="0.35">
      <c r="A727">
        <v>726</v>
      </c>
      <c r="B727">
        <v>2010</v>
      </c>
      <c r="C727" s="1">
        <v>40346</v>
      </c>
      <c r="D727" t="s">
        <v>45</v>
      </c>
      <c r="E727" t="s">
        <v>9</v>
      </c>
      <c r="F727">
        <v>4</v>
      </c>
      <c r="G727">
        <v>1</v>
      </c>
      <c r="H727" t="s">
        <v>64</v>
      </c>
      <c r="I727" t="b">
        <v>0</v>
      </c>
      <c r="J727">
        <f t="shared" si="22"/>
        <v>5</v>
      </c>
      <c r="K727" t="str">
        <f t="shared" si="23"/>
        <v>Home Win</v>
      </c>
    </row>
    <row r="728" spans="1:11" x14ac:dyDescent="0.35">
      <c r="A728">
        <v>727</v>
      </c>
      <c r="B728">
        <v>2010</v>
      </c>
      <c r="C728" s="1">
        <v>40346</v>
      </c>
      <c r="D728" t="s">
        <v>45</v>
      </c>
      <c r="E728" t="s">
        <v>93</v>
      </c>
      <c r="F728">
        <v>2</v>
      </c>
      <c r="G728">
        <v>1</v>
      </c>
      <c r="H728" t="s">
        <v>94</v>
      </c>
      <c r="I728" t="b">
        <v>0</v>
      </c>
      <c r="J728">
        <f t="shared" si="22"/>
        <v>3</v>
      </c>
      <c r="K728" t="str">
        <f t="shared" si="23"/>
        <v>Home Win</v>
      </c>
    </row>
    <row r="729" spans="1:11" x14ac:dyDescent="0.35">
      <c r="A729">
        <v>728</v>
      </c>
      <c r="B729">
        <v>2010</v>
      </c>
      <c r="C729" s="1">
        <v>40346</v>
      </c>
      <c r="D729" t="s">
        <v>45</v>
      </c>
      <c r="E729" t="s">
        <v>14</v>
      </c>
      <c r="F729">
        <v>0</v>
      </c>
      <c r="G729">
        <v>2</v>
      </c>
      <c r="H729" t="s">
        <v>24</v>
      </c>
      <c r="I729" t="b">
        <v>0</v>
      </c>
      <c r="J729">
        <f t="shared" si="22"/>
        <v>2</v>
      </c>
      <c r="K729" t="str">
        <f t="shared" si="23"/>
        <v>Away Win</v>
      </c>
    </row>
    <row r="730" spans="1:11" x14ac:dyDescent="0.35">
      <c r="A730">
        <v>729</v>
      </c>
      <c r="B730">
        <v>2010</v>
      </c>
      <c r="C730" s="1">
        <v>40347</v>
      </c>
      <c r="D730" t="s">
        <v>45</v>
      </c>
      <c r="E730" t="s">
        <v>13</v>
      </c>
      <c r="F730">
        <v>0</v>
      </c>
      <c r="G730">
        <v>1</v>
      </c>
      <c r="H730" t="s">
        <v>103</v>
      </c>
      <c r="I730" t="b">
        <v>0</v>
      </c>
      <c r="J730">
        <f t="shared" si="22"/>
        <v>1</v>
      </c>
      <c r="K730" t="str">
        <f t="shared" si="23"/>
        <v>Away Win</v>
      </c>
    </row>
    <row r="731" spans="1:11" x14ac:dyDescent="0.35">
      <c r="A731">
        <v>730</v>
      </c>
      <c r="B731">
        <v>2010</v>
      </c>
      <c r="C731" s="1">
        <v>40347</v>
      </c>
      <c r="D731" t="s">
        <v>45</v>
      </c>
      <c r="E731" t="s">
        <v>98</v>
      </c>
      <c r="F731">
        <v>2</v>
      </c>
      <c r="G731">
        <v>2</v>
      </c>
      <c r="H731" t="s">
        <v>46</v>
      </c>
      <c r="I731" t="b">
        <v>0</v>
      </c>
      <c r="J731">
        <f t="shared" si="22"/>
        <v>4</v>
      </c>
      <c r="K731" t="str">
        <f t="shared" si="23"/>
        <v>Draw</v>
      </c>
    </row>
    <row r="732" spans="1:11" x14ac:dyDescent="0.35">
      <c r="A732">
        <v>731</v>
      </c>
      <c r="B732">
        <v>2010</v>
      </c>
      <c r="C732" s="1">
        <v>40347</v>
      </c>
      <c r="D732" t="s">
        <v>45</v>
      </c>
      <c r="E732" t="s">
        <v>22</v>
      </c>
      <c r="F732">
        <v>0</v>
      </c>
      <c r="G732">
        <v>0</v>
      </c>
      <c r="H732" t="s">
        <v>83</v>
      </c>
      <c r="I732" t="b">
        <v>0</v>
      </c>
      <c r="J732">
        <f t="shared" si="22"/>
        <v>0</v>
      </c>
      <c r="K732" t="str">
        <f t="shared" si="23"/>
        <v>Draw</v>
      </c>
    </row>
    <row r="733" spans="1:11" x14ac:dyDescent="0.35">
      <c r="A733">
        <v>732</v>
      </c>
      <c r="B733">
        <v>2010</v>
      </c>
      <c r="C733" s="1">
        <v>40348</v>
      </c>
      <c r="D733" t="s">
        <v>45</v>
      </c>
      <c r="E733" t="s">
        <v>25</v>
      </c>
      <c r="F733">
        <v>1</v>
      </c>
      <c r="G733">
        <v>0</v>
      </c>
      <c r="H733" t="s">
        <v>95</v>
      </c>
      <c r="I733" t="b">
        <v>0</v>
      </c>
      <c r="J733">
        <f t="shared" si="22"/>
        <v>1</v>
      </c>
      <c r="K733" t="str">
        <f t="shared" si="23"/>
        <v>Home Win</v>
      </c>
    </row>
    <row r="734" spans="1:11" x14ac:dyDescent="0.35">
      <c r="A734">
        <v>733</v>
      </c>
      <c r="B734">
        <v>2010</v>
      </c>
      <c r="C734" s="1">
        <v>40348</v>
      </c>
      <c r="D734" t="s">
        <v>45</v>
      </c>
      <c r="E734" t="s">
        <v>106</v>
      </c>
      <c r="F734">
        <v>1</v>
      </c>
      <c r="G734">
        <v>1</v>
      </c>
      <c r="H734" t="s">
        <v>75</v>
      </c>
      <c r="I734" t="b">
        <v>0</v>
      </c>
      <c r="J734">
        <f t="shared" si="22"/>
        <v>2</v>
      </c>
      <c r="K734" t="str">
        <f t="shared" si="23"/>
        <v>Draw</v>
      </c>
    </row>
    <row r="735" spans="1:11" x14ac:dyDescent="0.35">
      <c r="A735">
        <v>734</v>
      </c>
      <c r="B735">
        <v>2010</v>
      </c>
      <c r="C735" s="1">
        <v>40348</v>
      </c>
      <c r="D735" t="s">
        <v>45</v>
      </c>
      <c r="E735" t="s">
        <v>81</v>
      </c>
      <c r="F735">
        <v>1</v>
      </c>
      <c r="G735">
        <v>2</v>
      </c>
      <c r="H735" t="s">
        <v>88</v>
      </c>
      <c r="I735" t="b">
        <v>0</v>
      </c>
      <c r="J735">
        <f t="shared" si="22"/>
        <v>3</v>
      </c>
      <c r="K735" t="str">
        <f t="shared" si="23"/>
        <v>Away Win</v>
      </c>
    </row>
    <row r="736" spans="1:11" x14ac:dyDescent="0.35">
      <c r="A736">
        <v>735</v>
      </c>
      <c r="B736">
        <v>2010</v>
      </c>
      <c r="C736" s="1">
        <v>40349</v>
      </c>
      <c r="D736" t="s">
        <v>45</v>
      </c>
      <c r="E736" t="s">
        <v>109</v>
      </c>
      <c r="F736">
        <v>0</v>
      </c>
      <c r="G736">
        <v>2</v>
      </c>
      <c r="H736" t="s">
        <v>51</v>
      </c>
      <c r="I736" t="b">
        <v>0</v>
      </c>
      <c r="J736">
        <f t="shared" si="22"/>
        <v>2</v>
      </c>
      <c r="K736" t="str">
        <f t="shared" si="23"/>
        <v>Away Win</v>
      </c>
    </row>
    <row r="737" spans="1:11" x14ac:dyDescent="0.35">
      <c r="A737">
        <v>736</v>
      </c>
      <c r="B737">
        <v>2010</v>
      </c>
      <c r="C737" s="1">
        <v>40349</v>
      </c>
      <c r="D737" t="s">
        <v>45</v>
      </c>
      <c r="E737" t="s">
        <v>11</v>
      </c>
      <c r="F737">
        <v>1</v>
      </c>
      <c r="G737">
        <v>1</v>
      </c>
      <c r="H737" t="s">
        <v>82</v>
      </c>
      <c r="I737" t="b">
        <v>0</v>
      </c>
      <c r="J737">
        <f t="shared" si="22"/>
        <v>2</v>
      </c>
      <c r="K737" t="str">
        <f t="shared" si="23"/>
        <v>Draw</v>
      </c>
    </row>
    <row r="738" spans="1:11" x14ac:dyDescent="0.35">
      <c r="A738">
        <v>737</v>
      </c>
      <c r="B738">
        <v>2010</v>
      </c>
      <c r="C738" s="1">
        <v>40349</v>
      </c>
      <c r="D738" t="s">
        <v>45</v>
      </c>
      <c r="E738" t="s">
        <v>16</v>
      </c>
      <c r="F738">
        <v>3</v>
      </c>
      <c r="G738">
        <v>1</v>
      </c>
      <c r="H738" t="s">
        <v>102</v>
      </c>
      <c r="I738" t="b">
        <v>0</v>
      </c>
      <c r="J738">
        <f t="shared" si="22"/>
        <v>4</v>
      </c>
      <c r="K738" t="str">
        <f t="shared" si="23"/>
        <v>Home Win</v>
      </c>
    </row>
    <row r="739" spans="1:11" x14ac:dyDescent="0.35">
      <c r="A739">
        <v>738</v>
      </c>
      <c r="B739">
        <v>2010</v>
      </c>
      <c r="C739" s="1">
        <v>40350</v>
      </c>
      <c r="D739" t="s">
        <v>45</v>
      </c>
      <c r="E739" t="s">
        <v>23</v>
      </c>
      <c r="F739">
        <v>7</v>
      </c>
      <c r="G739">
        <v>0</v>
      </c>
      <c r="H739" t="s">
        <v>69</v>
      </c>
      <c r="I739" t="b">
        <v>0</v>
      </c>
      <c r="J739">
        <f t="shared" si="22"/>
        <v>7</v>
      </c>
      <c r="K739" t="str">
        <f t="shared" si="23"/>
        <v>Home Win</v>
      </c>
    </row>
    <row r="740" spans="1:11" x14ac:dyDescent="0.35">
      <c r="A740">
        <v>739</v>
      </c>
      <c r="B740">
        <v>2010</v>
      </c>
      <c r="C740" s="1">
        <v>40350</v>
      </c>
      <c r="D740" t="s">
        <v>45</v>
      </c>
      <c r="E740" t="s">
        <v>21</v>
      </c>
      <c r="F740">
        <v>1</v>
      </c>
      <c r="G740">
        <v>0</v>
      </c>
      <c r="H740" t="s">
        <v>18</v>
      </c>
      <c r="I740" t="b">
        <v>0</v>
      </c>
      <c r="J740">
        <f t="shared" si="22"/>
        <v>1</v>
      </c>
      <c r="K740" t="str">
        <f t="shared" si="23"/>
        <v>Home Win</v>
      </c>
    </row>
    <row r="741" spans="1:11" x14ac:dyDescent="0.35">
      <c r="A741">
        <v>740</v>
      </c>
      <c r="B741">
        <v>2010</v>
      </c>
      <c r="C741" s="1">
        <v>40350</v>
      </c>
      <c r="D741" t="s">
        <v>45</v>
      </c>
      <c r="E741" t="s">
        <v>27</v>
      </c>
      <c r="F741">
        <v>2</v>
      </c>
      <c r="G741">
        <v>0</v>
      </c>
      <c r="H741" t="s">
        <v>84</v>
      </c>
      <c r="I741" t="b">
        <v>0</v>
      </c>
      <c r="J741">
        <f t="shared" si="22"/>
        <v>2</v>
      </c>
      <c r="K741" t="str">
        <f t="shared" si="23"/>
        <v>Home Win</v>
      </c>
    </row>
    <row r="742" spans="1:11" x14ac:dyDescent="0.35">
      <c r="A742">
        <v>741</v>
      </c>
      <c r="B742">
        <v>2010</v>
      </c>
      <c r="C742" s="1">
        <v>40351</v>
      </c>
      <c r="D742" t="s">
        <v>45</v>
      </c>
      <c r="E742" t="s">
        <v>24</v>
      </c>
      <c r="F742">
        <v>0</v>
      </c>
      <c r="G742">
        <v>1</v>
      </c>
      <c r="H742" t="s">
        <v>8</v>
      </c>
      <c r="I742" t="b">
        <v>0</v>
      </c>
      <c r="J742">
        <f t="shared" si="22"/>
        <v>1</v>
      </c>
      <c r="K742" t="str">
        <f t="shared" si="23"/>
        <v>Away Win</v>
      </c>
    </row>
    <row r="743" spans="1:11" x14ac:dyDescent="0.35">
      <c r="A743">
        <v>742</v>
      </c>
      <c r="B743">
        <v>2010</v>
      </c>
      <c r="C743" s="1">
        <v>40351</v>
      </c>
      <c r="D743" t="s">
        <v>45</v>
      </c>
      <c r="E743" t="s">
        <v>31</v>
      </c>
      <c r="F743">
        <v>2</v>
      </c>
      <c r="G743">
        <v>1</v>
      </c>
      <c r="H743" t="s">
        <v>14</v>
      </c>
      <c r="I743" t="b">
        <v>1</v>
      </c>
      <c r="J743">
        <f t="shared" si="22"/>
        <v>3</v>
      </c>
      <c r="K743" t="str">
        <f t="shared" si="23"/>
        <v>Home Win</v>
      </c>
    </row>
    <row r="744" spans="1:11" x14ac:dyDescent="0.35">
      <c r="A744">
        <v>743</v>
      </c>
      <c r="B744">
        <v>2010</v>
      </c>
      <c r="C744" s="1">
        <v>40351</v>
      </c>
      <c r="D744" t="s">
        <v>45</v>
      </c>
      <c r="E744" t="s">
        <v>94</v>
      </c>
      <c r="F744">
        <v>2</v>
      </c>
      <c r="G744">
        <v>2</v>
      </c>
      <c r="H744" t="s">
        <v>64</v>
      </c>
      <c r="I744" t="b">
        <v>0</v>
      </c>
      <c r="J744">
        <f t="shared" si="22"/>
        <v>4</v>
      </c>
      <c r="K744" t="str">
        <f t="shared" si="23"/>
        <v>Draw</v>
      </c>
    </row>
    <row r="745" spans="1:11" x14ac:dyDescent="0.35">
      <c r="A745">
        <v>744</v>
      </c>
      <c r="B745">
        <v>2010</v>
      </c>
      <c r="C745" s="1">
        <v>40351</v>
      </c>
      <c r="D745" t="s">
        <v>45</v>
      </c>
      <c r="E745" t="s">
        <v>93</v>
      </c>
      <c r="F745">
        <v>0</v>
      </c>
      <c r="G745">
        <v>2</v>
      </c>
      <c r="H745" t="s">
        <v>9</v>
      </c>
      <c r="I745" t="b">
        <v>0</v>
      </c>
      <c r="J745">
        <f t="shared" si="22"/>
        <v>2</v>
      </c>
      <c r="K745" t="str">
        <f t="shared" si="23"/>
        <v>Away Win</v>
      </c>
    </row>
    <row r="746" spans="1:11" x14ac:dyDescent="0.35">
      <c r="A746">
        <v>745</v>
      </c>
      <c r="B746">
        <v>2010</v>
      </c>
      <c r="C746" s="1">
        <v>40352</v>
      </c>
      <c r="D746" t="s">
        <v>45</v>
      </c>
      <c r="E746" t="s">
        <v>98</v>
      </c>
      <c r="F746">
        <v>0</v>
      </c>
      <c r="G746">
        <v>1</v>
      </c>
      <c r="H746" t="s">
        <v>22</v>
      </c>
      <c r="I746" t="b">
        <v>0</v>
      </c>
      <c r="J746">
        <f t="shared" si="22"/>
        <v>1</v>
      </c>
      <c r="K746" t="str">
        <f t="shared" si="23"/>
        <v>Away Win</v>
      </c>
    </row>
    <row r="747" spans="1:11" x14ac:dyDescent="0.35">
      <c r="A747">
        <v>746</v>
      </c>
      <c r="B747">
        <v>2010</v>
      </c>
      <c r="C747" s="1">
        <v>40352</v>
      </c>
      <c r="D747" t="s">
        <v>45</v>
      </c>
      <c r="E747" t="s">
        <v>46</v>
      </c>
      <c r="F747">
        <v>1</v>
      </c>
      <c r="G747">
        <v>0</v>
      </c>
      <c r="H747" t="s">
        <v>83</v>
      </c>
      <c r="I747" t="b">
        <v>0</v>
      </c>
      <c r="J747">
        <f t="shared" si="22"/>
        <v>1</v>
      </c>
      <c r="K747" t="str">
        <f t="shared" si="23"/>
        <v>Home Win</v>
      </c>
    </row>
    <row r="748" spans="1:11" x14ac:dyDescent="0.35">
      <c r="A748">
        <v>747</v>
      </c>
      <c r="B748">
        <v>2010</v>
      </c>
      <c r="C748" s="1">
        <v>40352</v>
      </c>
      <c r="D748" t="s">
        <v>45</v>
      </c>
      <c r="E748" t="s">
        <v>106</v>
      </c>
      <c r="F748">
        <v>0</v>
      </c>
      <c r="G748">
        <v>1</v>
      </c>
      <c r="H748" t="s">
        <v>13</v>
      </c>
      <c r="I748" t="b">
        <v>0</v>
      </c>
      <c r="J748">
        <f t="shared" si="22"/>
        <v>1</v>
      </c>
      <c r="K748" t="str">
        <f t="shared" si="23"/>
        <v>Away Win</v>
      </c>
    </row>
    <row r="749" spans="1:11" x14ac:dyDescent="0.35">
      <c r="A749">
        <v>748</v>
      </c>
      <c r="B749">
        <v>2010</v>
      </c>
      <c r="C749" s="1">
        <v>40352</v>
      </c>
      <c r="D749" t="s">
        <v>45</v>
      </c>
      <c r="E749" t="s">
        <v>75</v>
      </c>
      <c r="F749">
        <v>2</v>
      </c>
      <c r="G749">
        <v>1</v>
      </c>
      <c r="H749" t="s">
        <v>103</v>
      </c>
      <c r="I749" t="b">
        <v>0</v>
      </c>
      <c r="J749">
        <f t="shared" si="22"/>
        <v>3</v>
      </c>
      <c r="K749" t="str">
        <f t="shared" si="23"/>
        <v>Home Win</v>
      </c>
    </row>
    <row r="750" spans="1:11" x14ac:dyDescent="0.35">
      <c r="A750">
        <v>749</v>
      </c>
      <c r="B750">
        <v>2010</v>
      </c>
      <c r="C750" s="1">
        <v>40353</v>
      </c>
      <c r="D750" t="s">
        <v>45</v>
      </c>
      <c r="E750" t="s">
        <v>109</v>
      </c>
      <c r="F750">
        <v>3</v>
      </c>
      <c r="G750">
        <v>2</v>
      </c>
      <c r="H750" t="s">
        <v>11</v>
      </c>
      <c r="I750" t="b">
        <v>0</v>
      </c>
      <c r="J750">
        <f t="shared" si="22"/>
        <v>5</v>
      </c>
      <c r="K750" t="str">
        <f t="shared" si="23"/>
        <v>Home Win</v>
      </c>
    </row>
    <row r="751" spans="1:11" x14ac:dyDescent="0.35">
      <c r="A751">
        <v>750</v>
      </c>
      <c r="B751">
        <v>2010</v>
      </c>
      <c r="C751" s="1">
        <v>40353</v>
      </c>
      <c r="D751" t="s">
        <v>45</v>
      </c>
      <c r="E751" t="s">
        <v>51</v>
      </c>
      <c r="F751">
        <v>0</v>
      </c>
      <c r="G751">
        <v>0</v>
      </c>
      <c r="H751" t="s">
        <v>82</v>
      </c>
      <c r="I751" t="b">
        <v>0</v>
      </c>
      <c r="J751">
        <f t="shared" si="22"/>
        <v>0</v>
      </c>
      <c r="K751" t="str">
        <f t="shared" si="23"/>
        <v>Draw</v>
      </c>
    </row>
    <row r="752" spans="1:11" x14ac:dyDescent="0.35">
      <c r="A752">
        <v>751</v>
      </c>
      <c r="B752">
        <v>2010</v>
      </c>
      <c r="C752" s="1">
        <v>40353</v>
      </c>
      <c r="D752" t="s">
        <v>45</v>
      </c>
      <c r="E752" t="s">
        <v>88</v>
      </c>
      <c r="F752">
        <v>1</v>
      </c>
      <c r="G752">
        <v>3</v>
      </c>
      <c r="H752" t="s">
        <v>95</v>
      </c>
      <c r="I752" t="b">
        <v>0</v>
      </c>
      <c r="J752">
        <f t="shared" si="22"/>
        <v>4</v>
      </c>
      <c r="K752" t="str">
        <f t="shared" si="23"/>
        <v>Away Win</v>
      </c>
    </row>
    <row r="753" spans="1:11" x14ac:dyDescent="0.35">
      <c r="A753">
        <v>752</v>
      </c>
      <c r="B753">
        <v>2010</v>
      </c>
      <c r="C753" s="1">
        <v>40353</v>
      </c>
      <c r="D753" t="s">
        <v>45</v>
      </c>
      <c r="E753" t="s">
        <v>81</v>
      </c>
      <c r="F753">
        <v>1</v>
      </c>
      <c r="G753">
        <v>2</v>
      </c>
      <c r="H753" t="s">
        <v>25</v>
      </c>
      <c r="I753" t="b">
        <v>0</v>
      </c>
      <c r="J753">
        <f t="shared" si="22"/>
        <v>3</v>
      </c>
      <c r="K753" t="str">
        <f t="shared" si="23"/>
        <v>Away Win</v>
      </c>
    </row>
    <row r="754" spans="1:11" x14ac:dyDescent="0.35">
      <c r="A754">
        <v>753</v>
      </c>
      <c r="B754">
        <v>2010</v>
      </c>
      <c r="C754" s="1">
        <v>40354</v>
      </c>
      <c r="D754" t="s">
        <v>45</v>
      </c>
      <c r="E754" t="s">
        <v>23</v>
      </c>
      <c r="F754">
        <v>0</v>
      </c>
      <c r="G754">
        <v>0</v>
      </c>
      <c r="H754" t="s">
        <v>16</v>
      </c>
      <c r="I754" t="b">
        <v>0</v>
      </c>
      <c r="J754">
        <f t="shared" si="22"/>
        <v>0</v>
      </c>
      <c r="K754" t="str">
        <f t="shared" si="23"/>
        <v>Draw</v>
      </c>
    </row>
    <row r="755" spans="1:11" x14ac:dyDescent="0.35">
      <c r="A755">
        <v>754</v>
      </c>
      <c r="B755">
        <v>2010</v>
      </c>
      <c r="C755" s="1">
        <v>40354</v>
      </c>
      <c r="D755" t="s">
        <v>45</v>
      </c>
      <c r="E755" t="s">
        <v>69</v>
      </c>
      <c r="F755">
        <v>0</v>
      </c>
      <c r="G755">
        <v>3</v>
      </c>
      <c r="H755" t="s">
        <v>102</v>
      </c>
      <c r="I755" t="b">
        <v>0</v>
      </c>
      <c r="J755">
        <f t="shared" si="22"/>
        <v>3</v>
      </c>
      <c r="K755" t="str">
        <f t="shared" si="23"/>
        <v>Away Win</v>
      </c>
    </row>
    <row r="756" spans="1:11" x14ac:dyDescent="0.35">
      <c r="A756">
        <v>755</v>
      </c>
      <c r="B756">
        <v>2010</v>
      </c>
      <c r="C756" s="1">
        <v>40354</v>
      </c>
      <c r="D756" t="s">
        <v>45</v>
      </c>
      <c r="E756" t="s">
        <v>21</v>
      </c>
      <c r="F756">
        <v>1</v>
      </c>
      <c r="G756">
        <v>2</v>
      </c>
      <c r="H756" t="s">
        <v>27</v>
      </c>
      <c r="I756" t="b">
        <v>0</v>
      </c>
      <c r="J756">
        <f t="shared" si="22"/>
        <v>3</v>
      </c>
      <c r="K756" t="str">
        <f t="shared" si="23"/>
        <v>Away Win</v>
      </c>
    </row>
    <row r="757" spans="1:11" x14ac:dyDescent="0.35">
      <c r="A757">
        <v>756</v>
      </c>
      <c r="B757">
        <v>2010</v>
      </c>
      <c r="C757" s="1">
        <v>40354</v>
      </c>
      <c r="D757" t="s">
        <v>45</v>
      </c>
      <c r="E757" t="s">
        <v>18</v>
      </c>
      <c r="F757">
        <v>0</v>
      </c>
      <c r="G757">
        <v>0</v>
      </c>
      <c r="H757" t="s">
        <v>84</v>
      </c>
      <c r="I757" t="b">
        <v>0</v>
      </c>
      <c r="J757">
        <f t="shared" si="22"/>
        <v>0</v>
      </c>
      <c r="K757" t="str">
        <f t="shared" si="23"/>
        <v>Draw</v>
      </c>
    </row>
    <row r="758" spans="1:11" x14ac:dyDescent="0.35">
      <c r="A758">
        <v>757</v>
      </c>
      <c r="B758">
        <v>2010</v>
      </c>
      <c r="C758" s="1">
        <v>40355</v>
      </c>
      <c r="D758" t="s">
        <v>54</v>
      </c>
      <c r="E758" t="s">
        <v>8</v>
      </c>
      <c r="F758">
        <v>2</v>
      </c>
      <c r="G758">
        <v>1</v>
      </c>
      <c r="H758" t="s">
        <v>64</v>
      </c>
      <c r="I758" t="b">
        <v>0</v>
      </c>
      <c r="J758">
        <f t="shared" si="22"/>
        <v>3</v>
      </c>
      <c r="K758" t="str">
        <f t="shared" si="23"/>
        <v>Home Win</v>
      </c>
    </row>
    <row r="759" spans="1:11" x14ac:dyDescent="0.35">
      <c r="A759">
        <v>758</v>
      </c>
      <c r="B759">
        <v>2010</v>
      </c>
      <c r="C759" s="1">
        <v>40355</v>
      </c>
      <c r="D759" t="s">
        <v>54</v>
      </c>
      <c r="E759" t="s">
        <v>46</v>
      </c>
      <c r="F759">
        <v>1</v>
      </c>
      <c r="G759">
        <v>2</v>
      </c>
      <c r="H759" t="s">
        <v>106</v>
      </c>
      <c r="I759" t="b">
        <v>0</v>
      </c>
      <c r="J759">
        <f t="shared" si="22"/>
        <v>3</v>
      </c>
      <c r="K759" t="str">
        <f t="shared" si="23"/>
        <v>Away Win</v>
      </c>
    </row>
    <row r="760" spans="1:11" x14ac:dyDescent="0.35">
      <c r="A760">
        <v>759</v>
      </c>
      <c r="B760">
        <v>2010</v>
      </c>
      <c r="C760" s="1">
        <v>40356</v>
      </c>
      <c r="D760" t="s">
        <v>54</v>
      </c>
      <c r="E760" t="s">
        <v>13</v>
      </c>
      <c r="F760">
        <v>4</v>
      </c>
      <c r="G760">
        <v>1</v>
      </c>
      <c r="H760" t="s">
        <v>22</v>
      </c>
      <c r="I760" t="b">
        <v>0</v>
      </c>
      <c r="J760">
        <f t="shared" si="22"/>
        <v>5</v>
      </c>
      <c r="K760" t="str">
        <f t="shared" si="23"/>
        <v>Home Win</v>
      </c>
    </row>
    <row r="761" spans="1:11" x14ac:dyDescent="0.35">
      <c r="A761">
        <v>760</v>
      </c>
      <c r="B761">
        <v>2010</v>
      </c>
      <c r="C761" s="1">
        <v>40356</v>
      </c>
      <c r="D761" t="s">
        <v>54</v>
      </c>
      <c r="E761" t="s">
        <v>9</v>
      </c>
      <c r="F761">
        <v>3</v>
      </c>
      <c r="G761">
        <v>1</v>
      </c>
      <c r="H761" t="s">
        <v>24</v>
      </c>
      <c r="I761" t="b">
        <v>0</v>
      </c>
      <c r="J761">
        <f t="shared" si="22"/>
        <v>4</v>
      </c>
      <c r="K761" t="str">
        <f t="shared" si="23"/>
        <v>Home Win</v>
      </c>
    </row>
    <row r="762" spans="1:11" x14ac:dyDescent="0.35">
      <c r="A762">
        <v>761</v>
      </c>
      <c r="B762">
        <v>2010</v>
      </c>
      <c r="C762" s="1">
        <v>40357</v>
      </c>
      <c r="D762" t="s">
        <v>54</v>
      </c>
      <c r="E762" t="s">
        <v>25</v>
      </c>
      <c r="F762">
        <v>2</v>
      </c>
      <c r="G762">
        <v>1</v>
      </c>
      <c r="H762" t="s">
        <v>109</v>
      </c>
      <c r="I762" t="b">
        <v>0</v>
      </c>
      <c r="J762">
        <f t="shared" si="22"/>
        <v>3</v>
      </c>
      <c r="K762" t="str">
        <f t="shared" si="23"/>
        <v>Home Win</v>
      </c>
    </row>
    <row r="763" spans="1:11" x14ac:dyDescent="0.35">
      <c r="A763">
        <v>762</v>
      </c>
      <c r="B763">
        <v>2010</v>
      </c>
      <c r="C763" s="1">
        <v>40357</v>
      </c>
      <c r="D763" t="s">
        <v>54</v>
      </c>
      <c r="E763" t="s">
        <v>16</v>
      </c>
      <c r="F763">
        <v>3</v>
      </c>
      <c r="G763">
        <v>0</v>
      </c>
      <c r="H763" t="s">
        <v>21</v>
      </c>
      <c r="I763" t="b">
        <v>0</v>
      </c>
      <c r="J763">
        <f t="shared" si="22"/>
        <v>3</v>
      </c>
      <c r="K763" t="str">
        <f t="shared" si="23"/>
        <v>Home Win</v>
      </c>
    </row>
    <row r="764" spans="1:11" x14ac:dyDescent="0.35">
      <c r="A764">
        <v>763</v>
      </c>
      <c r="B764">
        <v>2010</v>
      </c>
      <c r="C764" s="1">
        <v>40358</v>
      </c>
      <c r="D764" t="s">
        <v>54</v>
      </c>
      <c r="E764" t="s">
        <v>51</v>
      </c>
      <c r="F764">
        <v>0</v>
      </c>
      <c r="G764">
        <v>0</v>
      </c>
      <c r="H764" t="s">
        <v>95</v>
      </c>
      <c r="I764" t="b">
        <v>0</v>
      </c>
      <c r="J764">
        <f t="shared" si="22"/>
        <v>0</v>
      </c>
      <c r="K764" t="str">
        <f t="shared" si="23"/>
        <v>Draw</v>
      </c>
    </row>
    <row r="765" spans="1:11" x14ac:dyDescent="0.35">
      <c r="A765">
        <v>764</v>
      </c>
      <c r="B765">
        <v>2010</v>
      </c>
      <c r="C765" s="1">
        <v>40358</v>
      </c>
      <c r="D765" t="s">
        <v>54</v>
      </c>
      <c r="E765" t="s">
        <v>27</v>
      </c>
      <c r="F765">
        <v>1</v>
      </c>
      <c r="G765">
        <v>0</v>
      </c>
      <c r="H765" t="s">
        <v>23</v>
      </c>
      <c r="I765" t="b">
        <v>0</v>
      </c>
      <c r="J765">
        <f t="shared" si="22"/>
        <v>1</v>
      </c>
      <c r="K765" t="str">
        <f t="shared" si="23"/>
        <v>Home Win</v>
      </c>
    </row>
    <row r="766" spans="1:11" x14ac:dyDescent="0.35">
      <c r="A766">
        <v>765</v>
      </c>
      <c r="B766">
        <v>2010</v>
      </c>
      <c r="C766" s="1">
        <v>40361</v>
      </c>
      <c r="D766" t="s">
        <v>56</v>
      </c>
      <c r="E766" t="s">
        <v>25</v>
      </c>
      <c r="F766">
        <v>2</v>
      </c>
      <c r="G766">
        <v>1</v>
      </c>
      <c r="H766" t="s">
        <v>16</v>
      </c>
      <c r="I766" t="b">
        <v>0</v>
      </c>
      <c r="J766">
        <f t="shared" si="22"/>
        <v>3</v>
      </c>
      <c r="K766" t="str">
        <f t="shared" si="23"/>
        <v>Home Win</v>
      </c>
    </row>
    <row r="767" spans="1:11" x14ac:dyDescent="0.35">
      <c r="A767">
        <v>766</v>
      </c>
      <c r="B767">
        <v>2010</v>
      </c>
      <c r="C767" s="1">
        <v>40361</v>
      </c>
      <c r="D767" t="s">
        <v>56</v>
      </c>
      <c r="E767" t="s">
        <v>8</v>
      </c>
      <c r="F767">
        <v>1</v>
      </c>
      <c r="G767">
        <v>1</v>
      </c>
      <c r="H767" t="s">
        <v>106</v>
      </c>
      <c r="I767" t="b">
        <v>0</v>
      </c>
      <c r="J767">
        <f t="shared" si="22"/>
        <v>2</v>
      </c>
      <c r="K767" t="str">
        <f t="shared" si="23"/>
        <v>Draw</v>
      </c>
    </row>
    <row r="768" spans="1:11" x14ac:dyDescent="0.35">
      <c r="A768">
        <v>767</v>
      </c>
      <c r="B768">
        <v>2010</v>
      </c>
      <c r="C768" s="1">
        <v>40362</v>
      </c>
      <c r="D768" t="s">
        <v>56</v>
      </c>
      <c r="E768" t="s">
        <v>9</v>
      </c>
      <c r="F768">
        <v>0</v>
      </c>
      <c r="G768">
        <v>4</v>
      </c>
      <c r="H768" t="s">
        <v>13</v>
      </c>
      <c r="I768" t="b">
        <v>0</v>
      </c>
      <c r="J768">
        <f t="shared" si="22"/>
        <v>4</v>
      </c>
      <c r="K768" t="str">
        <f t="shared" si="23"/>
        <v>Away Win</v>
      </c>
    </row>
    <row r="769" spans="1:11" x14ac:dyDescent="0.35">
      <c r="A769">
        <v>768</v>
      </c>
      <c r="B769">
        <v>2010</v>
      </c>
      <c r="C769" s="1">
        <v>40362</v>
      </c>
      <c r="D769" t="s">
        <v>56</v>
      </c>
      <c r="E769" t="s">
        <v>51</v>
      </c>
      <c r="F769">
        <v>0</v>
      </c>
      <c r="G769">
        <v>1</v>
      </c>
      <c r="H769" t="s">
        <v>27</v>
      </c>
      <c r="I769" t="b">
        <v>0</v>
      </c>
      <c r="J769">
        <f t="shared" si="22"/>
        <v>1</v>
      </c>
      <c r="K769" t="str">
        <f t="shared" si="23"/>
        <v>Away Win</v>
      </c>
    </row>
    <row r="770" spans="1:11" x14ac:dyDescent="0.35">
      <c r="A770">
        <v>769</v>
      </c>
      <c r="B770">
        <v>2010</v>
      </c>
      <c r="C770" s="1">
        <v>40365</v>
      </c>
      <c r="D770" t="s">
        <v>52</v>
      </c>
      <c r="E770" t="s">
        <v>8</v>
      </c>
      <c r="F770">
        <v>2</v>
      </c>
      <c r="G770">
        <v>3</v>
      </c>
      <c r="H770" t="s">
        <v>25</v>
      </c>
      <c r="I770" t="b">
        <v>0</v>
      </c>
      <c r="J770">
        <f t="shared" si="22"/>
        <v>5</v>
      </c>
      <c r="K770" t="str">
        <f t="shared" si="23"/>
        <v>Away Win</v>
      </c>
    </row>
    <row r="771" spans="1:11" x14ac:dyDescent="0.35">
      <c r="A771">
        <v>770</v>
      </c>
      <c r="B771">
        <v>2010</v>
      </c>
      <c r="C771" s="1">
        <v>40366</v>
      </c>
      <c r="D771" t="s">
        <v>52</v>
      </c>
      <c r="E771" t="s">
        <v>13</v>
      </c>
      <c r="F771">
        <v>0</v>
      </c>
      <c r="G771">
        <v>1</v>
      </c>
      <c r="H771" t="s">
        <v>27</v>
      </c>
      <c r="I771" t="b">
        <v>0</v>
      </c>
      <c r="J771">
        <f t="shared" ref="J771:J834" si="24">F:F+G:G</f>
        <v>1</v>
      </c>
      <c r="K771" t="str">
        <f t="shared" ref="K771:K834" si="25">IF(F771&gt;G771,"Home Win",IF(F771&lt;G771,"Away Win","Draw"))</f>
        <v>Away Win</v>
      </c>
    </row>
    <row r="772" spans="1:11" x14ac:dyDescent="0.35">
      <c r="A772">
        <v>771</v>
      </c>
      <c r="B772">
        <v>2010</v>
      </c>
      <c r="C772" s="1">
        <v>40369</v>
      </c>
      <c r="D772" t="s">
        <v>57</v>
      </c>
      <c r="E772" t="s">
        <v>8</v>
      </c>
      <c r="F772">
        <v>2</v>
      </c>
      <c r="G772">
        <v>3</v>
      </c>
      <c r="H772" t="s">
        <v>13</v>
      </c>
      <c r="I772" t="b">
        <v>0</v>
      </c>
      <c r="J772">
        <f t="shared" si="24"/>
        <v>5</v>
      </c>
      <c r="K772" t="str">
        <f t="shared" si="25"/>
        <v>Away Win</v>
      </c>
    </row>
    <row r="773" spans="1:11" x14ac:dyDescent="0.35">
      <c r="A773">
        <v>772</v>
      </c>
      <c r="B773">
        <v>2010</v>
      </c>
      <c r="C773" s="1">
        <v>40370</v>
      </c>
      <c r="D773" t="s">
        <v>53</v>
      </c>
      <c r="E773" t="s">
        <v>25</v>
      </c>
      <c r="F773">
        <v>0</v>
      </c>
      <c r="G773">
        <v>1</v>
      </c>
      <c r="H773" t="s">
        <v>27</v>
      </c>
      <c r="I773" t="b">
        <v>0</v>
      </c>
      <c r="J773">
        <f t="shared" si="24"/>
        <v>1</v>
      </c>
      <c r="K773" t="str">
        <f t="shared" si="25"/>
        <v>Away Win</v>
      </c>
    </row>
    <row r="774" spans="1:11" x14ac:dyDescent="0.35">
      <c r="A774">
        <v>773</v>
      </c>
      <c r="B774">
        <v>2014</v>
      </c>
      <c r="C774" s="1">
        <v>41802</v>
      </c>
      <c r="D774" t="s">
        <v>45</v>
      </c>
      <c r="E774" t="s">
        <v>16</v>
      </c>
      <c r="F774">
        <v>3</v>
      </c>
      <c r="G774">
        <v>1</v>
      </c>
      <c r="H774" t="s">
        <v>28</v>
      </c>
      <c r="I774" t="b">
        <v>1</v>
      </c>
      <c r="J774">
        <f t="shared" si="24"/>
        <v>4</v>
      </c>
      <c r="K774" t="str">
        <f t="shared" si="25"/>
        <v>Home Win</v>
      </c>
    </row>
    <row r="775" spans="1:11" x14ac:dyDescent="0.35">
      <c r="A775">
        <v>774</v>
      </c>
      <c r="B775">
        <v>2014</v>
      </c>
      <c r="C775" s="1">
        <v>41803</v>
      </c>
      <c r="D775" t="s">
        <v>45</v>
      </c>
      <c r="E775" t="s">
        <v>24</v>
      </c>
      <c r="F775">
        <v>1</v>
      </c>
      <c r="G775">
        <v>0</v>
      </c>
      <c r="H775" t="s">
        <v>81</v>
      </c>
      <c r="I775" t="b">
        <v>0</v>
      </c>
      <c r="J775">
        <f t="shared" si="24"/>
        <v>1</v>
      </c>
      <c r="K775" t="str">
        <f t="shared" si="25"/>
        <v>Home Win</v>
      </c>
    </row>
    <row r="776" spans="1:11" x14ac:dyDescent="0.35">
      <c r="A776">
        <v>775</v>
      </c>
      <c r="B776">
        <v>2014</v>
      </c>
      <c r="C776" s="1">
        <v>41803</v>
      </c>
      <c r="D776" t="s">
        <v>45</v>
      </c>
      <c r="E776" t="s">
        <v>27</v>
      </c>
      <c r="F776">
        <v>1</v>
      </c>
      <c r="G776">
        <v>5</v>
      </c>
      <c r="H776" t="s">
        <v>25</v>
      </c>
      <c r="I776" t="b">
        <v>0</v>
      </c>
      <c r="J776">
        <f t="shared" si="24"/>
        <v>6</v>
      </c>
      <c r="K776" t="str">
        <f t="shared" si="25"/>
        <v>Away Win</v>
      </c>
    </row>
    <row r="777" spans="1:11" x14ac:dyDescent="0.35">
      <c r="A777">
        <v>776</v>
      </c>
      <c r="B777">
        <v>2014</v>
      </c>
      <c r="C777" s="1">
        <v>41803</v>
      </c>
      <c r="D777" t="s">
        <v>45</v>
      </c>
      <c r="E777" t="s">
        <v>21</v>
      </c>
      <c r="F777">
        <v>3</v>
      </c>
      <c r="G777">
        <v>1</v>
      </c>
      <c r="H777" t="s">
        <v>75</v>
      </c>
      <c r="I777" t="b">
        <v>0</v>
      </c>
      <c r="J777">
        <f t="shared" si="24"/>
        <v>4</v>
      </c>
      <c r="K777" t="str">
        <f t="shared" si="25"/>
        <v>Home Win</v>
      </c>
    </row>
    <row r="778" spans="1:11" x14ac:dyDescent="0.35">
      <c r="A778">
        <v>777</v>
      </c>
      <c r="B778">
        <v>2014</v>
      </c>
      <c r="C778" s="1">
        <v>41804</v>
      </c>
      <c r="D778" t="s">
        <v>45</v>
      </c>
      <c r="E778" t="s">
        <v>67</v>
      </c>
      <c r="F778">
        <v>3</v>
      </c>
      <c r="G778">
        <v>0</v>
      </c>
      <c r="H778" t="s">
        <v>93</v>
      </c>
      <c r="I778" t="b">
        <v>0</v>
      </c>
      <c r="J778">
        <f t="shared" si="24"/>
        <v>3</v>
      </c>
      <c r="K778" t="str">
        <f t="shared" si="25"/>
        <v>Home Win</v>
      </c>
    </row>
    <row r="779" spans="1:11" x14ac:dyDescent="0.35">
      <c r="A779">
        <v>778</v>
      </c>
      <c r="B779">
        <v>2014</v>
      </c>
      <c r="C779" s="1">
        <v>41804</v>
      </c>
      <c r="D779" t="s">
        <v>45</v>
      </c>
      <c r="E779" t="s">
        <v>8</v>
      </c>
      <c r="F779">
        <v>1</v>
      </c>
      <c r="G779">
        <v>3</v>
      </c>
      <c r="H779" t="s">
        <v>90</v>
      </c>
      <c r="I779" t="b">
        <v>0</v>
      </c>
      <c r="J779">
        <f t="shared" si="24"/>
        <v>4</v>
      </c>
      <c r="K779" t="str">
        <f t="shared" si="25"/>
        <v>Away Win</v>
      </c>
    </row>
    <row r="780" spans="1:11" x14ac:dyDescent="0.35">
      <c r="A780">
        <v>779</v>
      </c>
      <c r="B780">
        <v>2014</v>
      </c>
      <c r="C780" s="1">
        <v>41804</v>
      </c>
      <c r="D780" t="s">
        <v>45</v>
      </c>
      <c r="E780" t="s">
        <v>22</v>
      </c>
      <c r="F780">
        <v>1</v>
      </c>
      <c r="G780">
        <v>2</v>
      </c>
      <c r="H780" t="s">
        <v>11</v>
      </c>
      <c r="I780" t="b">
        <v>0</v>
      </c>
      <c r="J780">
        <f t="shared" si="24"/>
        <v>3</v>
      </c>
      <c r="K780" t="str">
        <f t="shared" si="25"/>
        <v>Away Win</v>
      </c>
    </row>
    <row r="781" spans="1:11" x14ac:dyDescent="0.35">
      <c r="A781">
        <v>780</v>
      </c>
      <c r="B781">
        <v>2014</v>
      </c>
      <c r="C781" s="1">
        <v>41804</v>
      </c>
      <c r="D781" t="s">
        <v>45</v>
      </c>
      <c r="E781" t="s">
        <v>102</v>
      </c>
      <c r="F781">
        <v>2</v>
      </c>
      <c r="G781">
        <v>1</v>
      </c>
      <c r="H781" t="s">
        <v>95</v>
      </c>
      <c r="I781" t="b">
        <v>0</v>
      </c>
      <c r="J781">
        <f t="shared" si="24"/>
        <v>3</v>
      </c>
      <c r="K781" t="str">
        <f t="shared" si="25"/>
        <v>Home Win</v>
      </c>
    </row>
    <row r="782" spans="1:11" x14ac:dyDescent="0.35">
      <c r="A782">
        <v>781</v>
      </c>
      <c r="B782">
        <v>2014</v>
      </c>
      <c r="C782" s="1">
        <v>41805</v>
      </c>
      <c r="D782" t="s">
        <v>45</v>
      </c>
      <c r="E782" t="s">
        <v>18</v>
      </c>
      <c r="F782">
        <v>2</v>
      </c>
      <c r="G782">
        <v>1</v>
      </c>
      <c r="H782" t="s">
        <v>99</v>
      </c>
      <c r="I782" t="b">
        <v>0</v>
      </c>
      <c r="J782">
        <f t="shared" si="24"/>
        <v>3</v>
      </c>
      <c r="K782" t="str">
        <f t="shared" si="25"/>
        <v>Home Win</v>
      </c>
    </row>
    <row r="783" spans="1:11" x14ac:dyDescent="0.35">
      <c r="A783">
        <v>782</v>
      </c>
      <c r="B783">
        <v>2014</v>
      </c>
      <c r="C783" s="1">
        <v>41805</v>
      </c>
      <c r="D783" t="s">
        <v>45</v>
      </c>
      <c r="E783" t="s">
        <v>14</v>
      </c>
      <c r="F783">
        <v>3</v>
      </c>
      <c r="G783">
        <v>0</v>
      </c>
      <c r="H783" t="s">
        <v>84</v>
      </c>
      <c r="I783" t="b">
        <v>0</v>
      </c>
      <c r="J783">
        <f t="shared" si="24"/>
        <v>3</v>
      </c>
      <c r="K783" t="str">
        <f t="shared" si="25"/>
        <v>Home Win</v>
      </c>
    </row>
    <row r="784" spans="1:11" x14ac:dyDescent="0.35">
      <c r="A784">
        <v>783</v>
      </c>
      <c r="B784">
        <v>2014</v>
      </c>
      <c r="C784" s="1">
        <v>41805</v>
      </c>
      <c r="D784" t="s">
        <v>45</v>
      </c>
      <c r="E784" t="s">
        <v>9</v>
      </c>
      <c r="F784">
        <v>2</v>
      </c>
      <c r="G784">
        <v>1</v>
      </c>
      <c r="H784" t="s">
        <v>110</v>
      </c>
      <c r="I784" t="b">
        <v>0</v>
      </c>
      <c r="J784">
        <f t="shared" si="24"/>
        <v>3</v>
      </c>
      <c r="K784" t="str">
        <f t="shared" si="25"/>
        <v>Home Win</v>
      </c>
    </row>
    <row r="785" spans="1:11" x14ac:dyDescent="0.35">
      <c r="A785">
        <v>784</v>
      </c>
      <c r="B785">
        <v>2014</v>
      </c>
      <c r="C785" s="1">
        <v>41806</v>
      </c>
      <c r="D785" t="s">
        <v>45</v>
      </c>
      <c r="E785" t="s">
        <v>13</v>
      </c>
      <c r="F785">
        <v>4</v>
      </c>
      <c r="G785">
        <v>0</v>
      </c>
      <c r="H785" t="s">
        <v>23</v>
      </c>
      <c r="I785" t="b">
        <v>0</v>
      </c>
      <c r="J785">
        <f t="shared" si="24"/>
        <v>4</v>
      </c>
      <c r="K785" t="str">
        <f t="shared" si="25"/>
        <v>Home Win</v>
      </c>
    </row>
    <row r="786" spans="1:11" x14ac:dyDescent="0.35">
      <c r="A786">
        <v>785</v>
      </c>
      <c r="B786">
        <v>2014</v>
      </c>
      <c r="C786" s="1">
        <v>41806</v>
      </c>
      <c r="D786" t="s">
        <v>45</v>
      </c>
      <c r="E786" t="s">
        <v>80</v>
      </c>
      <c r="F786">
        <v>0</v>
      </c>
      <c r="G786">
        <v>0</v>
      </c>
      <c r="H786" t="s">
        <v>94</v>
      </c>
      <c r="I786" t="b">
        <v>0</v>
      </c>
      <c r="J786">
        <f t="shared" si="24"/>
        <v>0</v>
      </c>
      <c r="K786" t="str">
        <f t="shared" si="25"/>
        <v>Draw</v>
      </c>
    </row>
    <row r="787" spans="1:11" x14ac:dyDescent="0.35">
      <c r="A787">
        <v>786</v>
      </c>
      <c r="B787">
        <v>2014</v>
      </c>
      <c r="C787" s="1">
        <v>41806</v>
      </c>
      <c r="D787" t="s">
        <v>45</v>
      </c>
      <c r="E787" t="s">
        <v>106</v>
      </c>
      <c r="F787">
        <v>1</v>
      </c>
      <c r="G787">
        <v>2</v>
      </c>
      <c r="H787" t="s">
        <v>46</v>
      </c>
      <c r="I787" t="b">
        <v>0</v>
      </c>
      <c r="J787">
        <f t="shared" si="24"/>
        <v>3</v>
      </c>
      <c r="K787" t="str">
        <f t="shared" si="25"/>
        <v>Away Win</v>
      </c>
    </row>
    <row r="788" spans="1:11" x14ac:dyDescent="0.35">
      <c r="A788">
        <v>787</v>
      </c>
      <c r="B788">
        <v>2014</v>
      </c>
      <c r="C788" s="1">
        <v>41807</v>
      </c>
      <c r="D788" t="s">
        <v>45</v>
      </c>
      <c r="E788" t="s">
        <v>33</v>
      </c>
      <c r="F788">
        <v>2</v>
      </c>
      <c r="G788">
        <v>1</v>
      </c>
      <c r="H788" t="s">
        <v>83</v>
      </c>
      <c r="I788" t="b">
        <v>0</v>
      </c>
      <c r="J788">
        <f t="shared" si="24"/>
        <v>3</v>
      </c>
      <c r="K788" t="str">
        <f t="shared" si="25"/>
        <v>Home Win</v>
      </c>
    </row>
    <row r="789" spans="1:11" x14ac:dyDescent="0.35">
      <c r="A789">
        <v>788</v>
      </c>
      <c r="B789">
        <v>2014</v>
      </c>
      <c r="C789" s="1">
        <v>41807</v>
      </c>
      <c r="D789" t="s">
        <v>45</v>
      </c>
      <c r="E789" t="s">
        <v>16</v>
      </c>
      <c r="F789">
        <v>0</v>
      </c>
      <c r="G789">
        <v>0</v>
      </c>
      <c r="H789" t="s">
        <v>24</v>
      </c>
      <c r="I789" t="b">
        <v>1</v>
      </c>
      <c r="J789">
        <f t="shared" si="24"/>
        <v>0</v>
      </c>
      <c r="K789" t="str">
        <f t="shared" si="25"/>
        <v>Draw</v>
      </c>
    </row>
    <row r="790" spans="1:11" x14ac:dyDescent="0.35">
      <c r="A790">
        <v>789</v>
      </c>
      <c r="B790">
        <v>2014</v>
      </c>
      <c r="C790" s="1">
        <v>41807</v>
      </c>
      <c r="D790" t="s">
        <v>45</v>
      </c>
      <c r="E790" t="s">
        <v>32</v>
      </c>
      <c r="F790">
        <v>1</v>
      </c>
      <c r="G790">
        <v>1</v>
      </c>
      <c r="H790" t="s">
        <v>64</v>
      </c>
      <c r="I790" t="b">
        <v>0</v>
      </c>
      <c r="J790">
        <f t="shared" si="24"/>
        <v>2</v>
      </c>
      <c r="K790" t="str">
        <f t="shared" si="25"/>
        <v>Draw</v>
      </c>
    </row>
    <row r="791" spans="1:11" x14ac:dyDescent="0.35">
      <c r="A791">
        <v>790</v>
      </c>
      <c r="B791">
        <v>2014</v>
      </c>
      <c r="C791" s="1">
        <v>41808</v>
      </c>
      <c r="D791" t="s">
        <v>45</v>
      </c>
      <c r="E791" t="s">
        <v>75</v>
      </c>
      <c r="F791">
        <v>2</v>
      </c>
      <c r="G791">
        <v>3</v>
      </c>
      <c r="H791" t="s">
        <v>25</v>
      </c>
      <c r="I791" t="b">
        <v>0</v>
      </c>
      <c r="J791">
        <f t="shared" si="24"/>
        <v>5</v>
      </c>
      <c r="K791" t="str">
        <f t="shared" si="25"/>
        <v>Away Win</v>
      </c>
    </row>
    <row r="792" spans="1:11" x14ac:dyDescent="0.35">
      <c r="A792">
        <v>791</v>
      </c>
      <c r="B792">
        <v>2014</v>
      </c>
      <c r="C792" s="1">
        <v>41808</v>
      </c>
      <c r="D792" t="s">
        <v>45</v>
      </c>
      <c r="E792" t="s">
        <v>27</v>
      </c>
      <c r="F792">
        <v>0</v>
      </c>
      <c r="G792">
        <v>2</v>
      </c>
      <c r="H792" t="s">
        <v>21</v>
      </c>
      <c r="I792" t="b">
        <v>0</v>
      </c>
      <c r="J792">
        <f t="shared" si="24"/>
        <v>2</v>
      </c>
      <c r="K792" t="str">
        <f t="shared" si="25"/>
        <v>Away Win</v>
      </c>
    </row>
    <row r="793" spans="1:11" x14ac:dyDescent="0.35">
      <c r="A793">
        <v>792</v>
      </c>
      <c r="B793">
        <v>2014</v>
      </c>
      <c r="C793" s="1">
        <v>41808</v>
      </c>
      <c r="D793" t="s">
        <v>45</v>
      </c>
      <c r="E793" t="s">
        <v>81</v>
      </c>
      <c r="F793">
        <v>0</v>
      </c>
      <c r="G793">
        <v>4</v>
      </c>
      <c r="H793" t="s">
        <v>28</v>
      </c>
      <c r="I793" t="b">
        <v>0</v>
      </c>
      <c r="J793">
        <f t="shared" si="24"/>
        <v>4</v>
      </c>
      <c r="K793" t="str">
        <f t="shared" si="25"/>
        <v>Away Win</v>
      </c>
    </row>
    <row r="794" spans="1:11" x14ac:dyDescent="0.35">
      <c r="A794">
        <v>793</v>
      </c>
      <c r="B794">
        <v>2014</v>
      </c>
      <c r="C794" s="1">
        <v>41809</v>
      </c>
      <c r="D794" t="s">
        <v>45</v>
      </c>
      <c r="E794" t="s">
        <v>67</v>
      </c>
      <c r="F794">
        <v>2</v>
      </c>
      <c r="G794">
        <v>1</v>
      </c>
      <c r="H794" t="s">
        <v>102</v>
      </c>
      <c r="I794" t="b">
        <v>0</v>
      </c>
      <c r="J794">
        <f t="shared" si="24"/>
        <v>3</v>
      </c>
      <c r="K794" t="str">
        <f t="shared" si="25"/>
        <v>Home Win</v>
      </c>
    </row>
    <row r="795" spans="1:11" x14ac:dyDescent="0.35">
      <c r="A795">
        <v>794</v>
      </c>
      <c r="B795">
        <v>2014</v>
      </c>
      <c r="C795" s="1">
        <v>41809</v>
      </c>
      <c r="D795" t="s">
        <v>45</v>
      </c>
      <c r="E795" t="s">
        <v>8</v>
      </c>
      <c r="F795">
        <v>2</v>
      </c>
      <c r="G795">
        <v>1</v>
      </c>
      <c r="H795" t="s">
        <v>22</v>
      </c>
      <c r="I795" t="b">
        <v>0</v>
      </c>
      <c r="J795">
        <f t="shared" si="24"/>
        <v>3</v>
      </c>
      <c r="K795" t="str">
        <f t="shared" si="25"/>
        <v>Home Win</v>
      </c>
    </row>
    <row r="796" spans="1:11" x14ac:dyDescent="0.35">
      <c r="A796">
        <v>795</v>
      </c>
      <c r="B796">
        <v>2014</v>
      </c>
      <c r="C796" s="1">
        <v>41809</v>
      </c>
      <c r="D796" t="s">
        <v>45</v>
      </c>
      <c r="E796" t="s">
        <v>95</v>
      </c>
      <c r="F796">
        <v>0</v>
      </c>
      <c r="G796">
        <v>0</v>
      </c>
      <c r="H796" t="s">
        <v>93</v>
      </c>
      <c r="I796" t="b">
        <v>0</v>
      </c>
      <c r="J796">
        <f t="shared" si="24"/>
        <v>0</v>
      </c>
      <c r="K796" t="str">
        <f t="shared" si="25"/>
        <v>Draw</v>
      </c>
    </row>
    <row r="797" spans="1:11" x14ac:dyDescent="0.35">
      <c r="A797">
        <v>796</v>
      </c>
      <c r="B797">
        <v>2014</v>
      </c>
      <c r="C797" s="1">
        <v>41810</v>
      </c>
      <c r="D797" t="s">
        <v>45</v>
      </c>
      <c r="E797" t="s">
        <v>11</v>
      </c>
      <c r="F797">
        <v>0</v>
      </c>
      <c r="G797">
        <v>1</v>
      </c>
      <c r="H797" t="s">
        <v>90</v>
      </c>
      <c r="I797" t="b">
        <v>0</v>
      </c>
      <c r="J797">
        <f t="shared" si="24"/>
        <v>1</v>
      </c>
      <c r="K797" t="str">
        <f t="shared" si="25"/>
        <v>Away Win</v>
      </c>
    </row>
    <row r="798" spans="1:11" x14ac:dyDescent="0.35">
      <c r="A798">
        <v>797</v>
      </c>
      <c r="B798">
        <v>2014</v>
      </c>
      <c r="C798" s="1">
        <v>41810</v>
      </c>
      <c r="D798" t="s">
        <v>45</v>
      </c>
      <c r="E798" t="s">
        <v>18</v>
      </c>
      <c r="F798">
        <v>2</v>
      </c>
      <c r="G798">
        <v>5</v>
      </c>
      <c r="H798" t="s">
        <v>14</v>
      </c>
      <c r="I798" t="b">
        <v>0</v>
      </c>
      <c r="J798">
        <f t="shared" si="24"/>
        <v>7</v>
      </c>
      <c r="K798" t="str">
        <f t="shared" si="25"/>
        <v>Away Win</v>
      </c>
    </row>
    <row r="799" spans="1:11" x14ac:dyDescent="0.35">
      <c r="A799">
        <v>798</v>
      </c>
      <c r="B799">
        <v>2014</v>
      </c>
      <c r="C799" s="1">
        <v>41810</v>
      </c>
      <c r="D799" t="s">
        <v>45</v>
      </c>
      <c r="E799" t="s">
        <v>84</v>
      </c>
      <c r="F799">
        <v>1</v>
      </c>
      <c r="G799">
        <v>2</v>
      </c>
      <c r="H799" t="s">
        <v>99</v>
      </c>
      <c r="I799" t="b">
        <v>0</v>
      </c>
      <c r="J799">
        <f t="shared" si="24"/>
        <v>3</v>
      </c>
      <c r="K799" t="str">
        <f t="shared" si="25"/>
        <v>Away Win</v>
      </c>
    </row>
    <row r="800" spans="1:11" x14ac:dyDescent="0.35">
      <c r="A800">
        <v>799</v>
      </c>
      <c r="B800">
        <v>2014</v>
      </c>
      <c r="C800" s="1">
        <v>41811</v>
      </c>
      <c r="D800" t="s">
        <v>45</v>
      </c>
      <c r="E800" t="s">
        <v>9</v>
      </c>
      <c r="F800">
        <v>1</v>
      </c>
      <c r="G800">
        <v>0</v>
      </c>
      <c r="H800" t="s">
        <v>80</v>
      </c>
      <c r="I800" t="b">
        <v>0</v>
      </c>
      <c r="J800">
        <f t="shared" si="24"/>
        <v>1</v>
      </c>
      <c r="K800" t="str">
        <f t="shared" si="25"/>
        <v>Home Win</v>
      </c>
    </row>
    <row r="801" spans="1:11" x14ac:dyDescent="0.35">
      <c r="A801">
        <v>800</v>
      </c>
      <c r="B801">
        <v>2014</v>
      </c>
      <c r="C801" s="1">
        <v>41811</v>
      </c>
      <c r="D801" t="s">
        <v>45</v>
      </c>
      <c r="E801" t="s">
        <v>13</v>
      </c>
      <c r="F801">
        <v>2</v>
      </c>
      <c r="G801">
        <v>2</v>
      </c>
      <c r="H801" t="s">
        <v>106</v>
      </c>
      <c r="I801" t="b">
        <v>0</v>
      </c>
      <c r="J801">
        <f t="shared" si="24"/>
        <v>4</v>
      </c>
      <c r="K801" t="str">
        <f t="shared" si="25"/>
        <v>Draw</v>
      </c>
    </row>
    <row r="802" spans="1:11" x14ac:dyDescent="0.35">
      <c r="A802">
        <v>801</v>
      </c>
      <c r="B802">
        <v>2014</v>
      </c>
      <c r="C802" s="1">
        <v>41811</v>
      </c>
      <c r="D802" t="s">
        <v>45</v>
      </c>
      <c r="E802" t="s">
        <v>94</v>
      </c>
      <c r="F802">
        <v>1</v>
      </c>
      <c r="G802">
        <v>0</v>
      </c>
      <c r="H802" t="s">
        <v>110</v>
      </c>
      <c r="I802" t="b">
        <v>0</v>
      </c>
      <c r="J802">
        <f t="shared" si="24"/>
        <v>1</v>
      </c>
      <c r="K802" t="str">
        <f t="shared" si="25"/>
        <v>Home Win</v>
      </c>
    </row>
    <row r="803" spans="1:11" x14ac:dyDescent="0.35">
      <c r="A803">
        <v>802</v>
      </c>
      <c r="B803">
        <v>2014</v>
      </c>
      <c r="C803" s="1">
        <v>41812</v>
      </c>
      <c r="D803" t="s">
        <v>45</v>
      </c>
      <c r="E803" t="s">
        <v>33</v>
      </c>
      <c r="F803">
        <v>1</v>
      </c>
      <c r="G803">
        <v>0</v>
      </c>
      <c r="H803" t="s">
        <v>32</v>
      </c>
      <c r="I803" t="b">
        <v>0</v>
      </c>
      <c r="J803">
        <f t="shared" si="24"/>
        <v>1</v>
      </c>
      <c r="K803" t="str">
        <f t="shared" si="25"/>
        <v>Home Win</v>
      </c>
    </row>
    <row r="804" spans="1:11" x14ac:dyDescent="0.35">
      <c r="A804">
        <v>803</v>
      </c>
      <c r="B804">
        <v>2014</v>
      </c>
      <c r="C804" s="1">
        <v>41812</v>
      </c>
      <c r="D804" t="s">
        <v>45</v>
      </c>
      <c r="E804" t="s">
        <v>64</v>
      </c>
      <c r="F804">
        <v>2</v>
      </c>
      <c r="G804">
        <v>4</v>
      </c>
      <c r="H804" t="s">
        <v>83</v>
      </c>
      <c r="I804" t="b">
        <v>0</v>
      </c>
      <c r="J804">
        <f t="shared" si="24"/>
        <v>6</v>
      </c>
      <c r="K804" t="str">
        <f t="shared" si="25"/>
        <v>Away Win</v>
      </c>
    </row>
    <row r="805" spans="1:11" x14ac:dyDescent="0.35">
      <c r="A805">
        <v>804</v>
      </c>
      <c r="B805">
        <v>2014</v>
      </c>
      <c r="C805" s="1">
        <v>41812</v>
      </c>
      <c r="D805" t="s">
        <v>45</v>
      </c>
      <c r="E805" t="s">
        <v>46</v>
      </c>
      <c r="F805">
        <v>2</v>
      </c>
      <c r="G805">
        <v>2</v>
      </c>
      <c r="H805" t="s">
        <v>23</v>
      </c>
      <c r="I805" t="b">
        <v>0</v>
      </c>
      <c r="J805">
        <f t="shared" si="24"/>
        <v>4</v>
      </c>
      <c r="K805" t="str">
        <f t="shared" si="25"/>
        <v>Draw</v>
      </c>
    </row>
    <row r="806" spans="1:11" x14ac:dyDescent="0.35">
      <c r="A806">
        <v>805</v>
      </c>
      <c r="B806">
        <v>2014</v>
      </c>
      <c r="C806" s="1">
        <v>41813</v>
      </c>
      <c r="D806" t="s">
        <v>45</v>
      </c>
      <c r="E806" t="s">
        <v>75</v>
      </c>
      <c r="F806">
        <v>0</v>
      </c>
      <c r="G806">
        <v>3</v>
      </c>
      <c r="H806" t="s">
        <v>27</v>
      </c>
      <c r="I806" t="b">
        <v>0</v>
      </c>
      <c r="J806">
        <f t="shared" si="24"/>
        <v>3</v>
      </c>
      <c r="K806" t="str">
        <f t="shared" si="25"/>
        <v>Away Win</v>
      </c>
    </row>
    <row r="807" spans="1:11" x14ac:dyDescent="0.35">
      <c r="A807">
        <v>806</v>
      </c>
      <c r="B807">
        <v>2014</v>
      </c>
      <c r="C807" s="1">
        <v>41813</v>
      </c>
      <c r="D807" t="s">
        <v>45</v>
      </c>
      <c r="E807" t="s">
        <v>25</v>
      </c>
      <c r="F807">
        <v>2</v>
      </c>
      <c r="G807">
        <v>0</v>
      </c>
      <c r="H807" t="s">
        <v>21</v>
      </c>
      <c r="I807" t="b">
        <v>0</v>
      </c>
      <c r="J807">
        <f t="shared" si="24"/>
        <v>2</v>
      </c>
      <c r="K807" t="str">
        <f t="shared" si="25"/>
        <v>Home Win</v>
      </c>
    </row>
    <row r="808" spans="1:11" x14ac:dyDescent="0.35">
      <c r="A808">
        <v>807</v>
      </c>
      <c r="B808">
        <v>2014</v>
      </c>
      <c r="C808" s="1">
        <v>41813</v>
      </c>
      <c r="D808" t="s">
        <v>45</v>
      </c>
      <c r="E808" t="s">
        <v>16</v>
      </c>
      <c r="F808">
        <v>4</v>
      </c>
      <c r="G808">
        <v>1</v>
      </c>
      <c r="H808" t="s">
        <v>81</v>
      </c>
      <c r="I808" t="b">
        <v>1</v>
      </c>
      <c r="J808">
        <f t="shared" si="24"/>
        <v>5</v>
      </c>
      <c r="K808" t="str">
        <f t="shared" si="25"/>
        <v>Home Win</v>
      </c>
    </row>
    <row r="809" spans="1:11" x14ac:dyDescent="0.35">
      <c r="A809">
        <v>808</v>
      </c>
      <c r="B809">
        <v>2014</v>
      </c>
      <c r="C809" s="1">
        <v>41813</v>
      </c>
      <c r="D809" t="s">
        <v>45</v>
      </c>
      <c r="E809" t="s">
        <v>28</v>
      </c>
      <c r="F809">
        <v>1</v>
      </c>
      <c r="G809">
        <v>3</v>
      </c>
      <c r="H809" t="s">
        <v>24</v>
      </c>
      <c r="I809" t="b">
        <v>0</v>
      </c>
      <c r="J809">
        <f t="shared" si="24"/>
        <v>4</v>
      </c>
      <c r="K809" t="str">
        <f t="shared" si="25"/>
        <v>Away Win</v>
      </c>
    </row>
    <row r="810" spans="1:11" x14ac:dyDescent="0.35">
      <c r="A810">
        <v>809</v>
      </c>
      <c r="B810">
        <v>2014</v>
      </c>
      <c r="C810" s="1">
        <v>41814</v>
      </c>
      <c r="D810" t="s">
        <v>45</v>
      </c>
      <c r="E810" t="s">
        <v>11</v>
      </c>
      <c r="F810">
        <v>0</v>
      </c>
      <c r="G810">
        <v>1</v>
      </c>
      <c r="H810" t="s">
        <v>8</v>
      </c>
      <c r="I810" t="b">
        <v>0</v>
      </c>
      <c r="J810">
        <f t="shared" si="24"/>
        <v>1</v>
      </c>
      <c r="K810" t="str">
        <f t="shared" si="25"/>
        <v>Away Win</v>
      </c>
    </row>
    <row r="811" spans="1:11" x14ac:dyDescent="0.35">
      <c r="A811">
        <v>810</v>
      </c>
      <c r="B811">
        <v>2014</v>
      </c>
      <c r="C811" s="1">
        <v>41814</v>
      </c>
      <c r="D811" t="s">
        <v>45</v>
      </c>
      <c r="E811" t="s">
        <v>90</v>
      </c>
      <c r="F811">
        <v>0</v>
      </c>
      <c r="G811">
        <v>0</v>
      </c>
      <c r="H811" t="s">
        <v>22</v>
      </c>
      <c r="I811" t="b">
        <v>0</v>
      </c>
      <c r="J811">
        <f t="shared" si="24"/>
        <v>0</v>
      </c>
      <c r="K811" t="str">
        <f t="shared" si="25"/>
        <v>Draw</v>
      </c>
    </row>
    <row r="812" spans="1:11" x14ac:dyDescent="0.35">
      <c r="A812">
        <v>811</v>
      </c>
      <c r="B812">
        <v>2014</v>
      </c>
      <c r="C812" s="1">
        <v>41814</v>
      </c>
      <c r="D812" t="s">
        <v>45</v>
      </c>
      <c r="E812" t="s">
        <v>95</v>
      </c>
      <c r="F812">
        <v>1</v>
      </c>
      <c r="G812">
        <v>4</v>
      </c>
      <c r="H812" t="s">
        <v>67</v>
      </c>
      <c r="I812" t="b">
        <v>0</v>
      </c>
      <c r="J812">
        <f t="shared" si="24"/>
        <v>5</v>
      </c>
      <c r="K812" t="str">
        <f t="shared" si="25"/>
        <v>Away Win</v>
      </c>
    </row>
    <row r="813" spans="1:11" x14ac:dyDescent="0.35">
      <c r="A813">
        <v>812</v>
      </c>
      <c r="B813">
        <v>2014</v>
      </c>
      <c r="C813" s="1">
        <v>41814</v>
      </c>
      <c r="D813" t="s">
        <v>45</v>
      </c>
      <c r="E813" t="s">
        <v>93</v>
      </c>
      <c r="F813">
        <v>2</v>
      </c>
      <c r="G813">
        <v>1</v>
      </c>
      <c r="H813" t="s">
        <v>102</v>
      </c>
      <c r="I813" t="b">
        <v>0</v>
      </c>
      <c r="J813">
        <f t="shared" si="24"/>
        <v>3</v>
      </c>
      <c r="K813" t="str">
        <f t="shared" si="25"/>
        <v>Home Win</v>
      </c>
    </row>
    <row r="814" spans="1:11" x14ac:dyDescent="0.35">
      <c r="A814">
        <v>813</v>
      </c>
      <c r="B814">
        <v>2014</v>
      </c>
      <c r="C814" s="1">
        <v>41815</v>
      </c>
      <c r="D814" t="s">
        <v>45</v>
      </c>
      <c r="E814" t="s">
        <v>94</v>
      </c>
      <c r="F814">
        <v>2</v>
      </c>
      <c r="G814">
        <v>3</v>
      </c>
      <c r="H814" t="s">
        <v>9</v>
      </c>
      <c r="I814" t="b">
        <v>0</v>
      </c>
      <c r="J814">
        <f t="shared" si="24"/>
        <v>5</v>
      </c>
      <c r="K814" t="str">
        <f t="shared" si="25"/>
        <v>Away Win</v>
      </c>
    </row>
    <row r="815" spans="1:11" x14ac:dyDescent="0.35">
      <c r="A815">
        <v>814</v>
      </c>
      <c r="B815">
        <v>2014</v>
      </c>
      <c r="C815" s="1">
        <v>41815</v>
      </c>
      <c r="D815" t="s">
        <v>45</v>
      </c>
      <c r="E815" t="s">
        <v>110</v>
      </c>
      <c r="F815">
        <v>3</v>
      </c>
      <c r="G815">
        <v>1</v>
      </c>
      <c r="H815" t="s">
        <v>80</v>
      </c>
      <c r="I815" t="b">
        <v>0</v>
      </c>
      <c r="J815">
        <f t="shared" si="24"/>
        <v>4</v>
      </c>
      <c r="K815" t="str">
        <f t="shared" si="25"/>
        <v>Home Win</v>
      </c>
    </row>
    <row r="816" spans="1:11" x14ac:dyDescent="0.35">
      <c r="A816">
        <v>815</v>
      </c>
      <c r="B816">
        <v>2014</v>
      </c>
      <c r="C816" s="1">
        <v>41815</v>
      </c>
      <c r="D816" t="s">
        <v>45</v>
      </c>
      <c r="E816" t="s">
        <v>84</v>
      </c>
      <c r="F816">
        <v>0</v>
      </c>
      <c r="G816">
        <v>3</v>
      </c>
      <c r="H816" t="s">
        <v>18</v>
      </c>
      <c r="I816" t="b">
        <v>0</v>
      </c>
      <c r="J816">
        <f t="shared" si="24"/>
        <v>3</v>
      </c>
      <c r="K816" t="str">
        <f t="shared" si="25"/>
        <v>Away Win</v>
      </c>
    </row>
    <row r="817" spans="1:11" x14ac:dyDescent="0.35">
      <c r="A817">
        <v>816</v>
      </c>
      <c r="B817">
        <v>2014</v>
      </c>
      <c r="C817" s="1">
        <v>41815</v>
      </c>
      <c r="D817" t="s">
        <v>45</v>
      </c>
      <c r="E817" t="s">
        <v>99</v>
      </c>
      <c r="F817">
        <v>0</v>
      </c>
      <c r="G817">
        <v>0</v>
      </c>
      <c r="H817" t="s">
        <v>14</v>
      </c>
      <c r="I817" t="b">
        <v>0</v>
      </c>
      <c r="J817">
        <f t="shared" si="24"/>
        <v>0</v>
      </c>
      <c r="K817" t="str">
        <f t="shared" si="25"/>
        <v>Draw</v>
      </c>
    </row>
    <row r="818" spans="1:11" x14ac:dyDescent="0.35">
      <c r="A818">
        <v>817</v>
      </c>
      <c r="B818">
        <v>2014</v>
      </c>
      <c r="C818" s="1">
        <v>41816</v>
      </c>
      <c r="D818" t="s">
        <v>45</v>
      </c>
      <c r="E818" t="s">
        <v>46</v>
      </c>
      <c r="F818">
        <v>0</v>
      </c>
      <c r="G818">
        <v>1</v>
      </c>
      <c r="H818" t="s">
        <v>13</v>
      </c>
      <c r="I818" t="b">
        <v>0</v>
      </c>
      <c r="J818">
        <f t="shared" si="24"/>
        <v>1</v>
      </c>
      <c r="K818" t="str">
        <f t="shared" si="25"/>
        <v>Away Win</v>
      </c>
    </row>
    <row r="819" spans="1:11" x14ac:dyDescent="0.35">
      <c r="A819">
        <v>818</v>
      </c>
      <c r="B819">
        <v>2014</v>
      </c>
      <c r="C819" s="1">
        <v>41816</v>
      </c>
      <c r="D819" t="s">
        <v>45</v>
      </c>
      <c r="E819" t="s">
        <v>23</v>
      </c>
      <c r="F819">
        <v>2</v>
      </c>
      <c r="G819">
        <v>1</v>
      </c>
      <c r="H819" t="s">
        <v>106</v>
      </c>
      <c r="I819" t="b">
        <v>0</v>
      </c>
      <c r="J819">
        <f t="shared" si="24"/>
        <v>3</v>
      </c>
      <c r="K819" t="str">
        <f t="shared" si="25"/>
        <v>Home Win</v>
      </c>
    </row>
    <row r="820" spans="1:11" x14ac:dyDescent="0.35">
      <c r="A820">
        <v>819</v>
      </c>
      <c r="B820">
        <v>2014</v>
      </c>
      <c r="C820" s="1">
        <v>41816</v>
      </c>
      <c r="D820" t="s">
        <v>45</v>
      </c>
      <c r="E820" t="s">
        <v>64</v>
      </c>
      <c r="F820">
        <v>0</v>
      </c>
      <c r="G820">
        <v>1</v>
      </c>
      <c r="H820" t="s">
        <v>33</v>
      </c>
      <c r="I820" t="b">
        <v>0</v>
      </c>
      <c r="J820">
        <f t="shared" si="24"/>
        <v>1</v>
      </c>
      <c r="K820" t="str">
        <f t="shared" si="25"/>
        <v>Away Win</v>
      </c>
    </row>
    <row r="821" spans="1:11" x14ac:dyDescent="0.35">
      <c r="A821">
        <v>820</v>
      </c>
      <c r="B821">
        <v>2014</v>
      </c>
      <c r="C821" s="1">
        <v>41816</v>
      </c>
      <c r="D821" t="s">
        <v>45</v>
      </c>
      <c r="E821" t="s">
        <v>83</v>
      </c>
      <c r="F821">
        <v>1</v>
      </c>
      <c r="G821">
        <v>1</v>
      </c>
      <c r="H821" t="s">
        <v>32</v>
      </c>
      <c r="I821" t="b">
        <v>0</v>
      </c>
      <c r="J821">
        <f t="shared" si="24"/>
        <v>2</v>
      </c>
      <c r="K821" t="str">
        <f t="shared" si="25"/>
        <v>Draw</v>
      </c>
    </row>
    <row r="822" spans="1:11" x14ac:dyDescent="0.35">
      <c r="A822">
        <v>821</v>
      </c>
      <c r="B822">
        <v>2014</v>
      </c>
      <c r="C822" s="1">
        <v>41818</v>
      </c>
      <c r="D822" t="s">
        <v>54</v>
      </c>
      <c r="E822" t="s">
        <v>16</v>
      </c>
      <c r="F822">
        <v>1</v>
      </c>
      <c r="G822">
        <v>1</v>
      </c>
      <c r="H822" t="s">
        <v>21</v>
      </c>
      <c r="I822" t="b">
        <v>1</v>
      </c>
      <c r="J822">
        <f t="shared" si="24"/>
        <v>2</v>
      </c>
      <c r="K822" t="str">
        <f t="shared" si="25"/>
        <v>Draw</v>
      </c>
    </row>
    <row r="823" spans="1:11" x14ac:dyDescent="0.35">
      <c r="A823">
        <v>822</v>
      </c>
      <c r="B823">
        <v>2014</v>
      </c>
      <c r="C823" s="1">
        <v>41818</v>
      </c>
      <c r="D823" t="s">
        <v>54</v>
      </c>
      <c r="E823" t="s">
        <v>67</v>
      </c>
      <c r="F823">
        <v>2</v>
      </c>
      <c r="G823">
        <v>0</v>
      </c>
      <c r="H823" t="s">
        <v>8</v>
      </c>
      <c r="I823" t="b">
        <v>0</v>
      </c>
      <c r="J823">
        <f t="shared" si="24"/>
        <v>2</v>
      </c>
      <c r="K823" t="str">
        <f t="shared" si="25"/>
        <v>Home Win</v>
      </c>
    </row>
    <row r="824" spans="1:11" x14ac:dyDescent="0.35">
      <c r="A824">
        <v>823</v>
      </c>
      <c r="B824">
        <v>2014</v>
      </c>
      <c r="C824" s="1">
        <v>41819</v>
      </c>
      <c r="D824" t="s">
        <v>54</v>
      </c>
      <c r="E824" t="s">
        <v>25</v>
      </c>
      <c r="F824">
        <v>2</v>
      </c>
      <c r="G824">
        <v>1</v>
      </c>
      <c r="H824" t="s">
        <v>24</v>
      </c>
      <c r="I824" t="b">
        <v>0</v>
      </c>
      <c r="J824">
        <f t="shared" si="24"/>
        <v>3</v>
      </c>
      <c r="K824" t="str">
        <f t="shared" si="25"/>
        <v>Home Win</v>
      </c>
    </row>
    <row r="825" spans="1:11" x14ac:dyDescent="0.35">
      <c r="A825">
        <v>824</v>
      </c>
      <c r="B825">
        <v>2014</v>
      </c>
      <c r="C825" s="1">
        <v>41819</v>
      </c>
      <c r="D825" t="s">
        <v>54</v>
      </c>
      <c r="E825" t="s">
        <v>90</v>
      </c>
      <c r="F825">
        <v>1</v>
      </c>
      <c r="G825">
        <v>1</v>
      </c>
      <c r="H825" t="s">
        <v>93</v>
      </c>
      <c r="I825" t="b">
        <v>0</v>
      </c>
      <c r="J825">
        <f t="shared" si="24"/>
        <v>2</v>
      </c>
      <c r="K825" t="str">
        <f t="shared" si="25"/>
        <v>Draw</v>
      </c>
    </row>
    <row r="826" spans="1:11" x14ac:dyDescent="0.35">
      <c r="A826">
        <v>825</v>
      </c>
      <c r="B826">
        <v>2014</v>
      </c>
      <c r="C826" s="1">
        <v>41820</v>
      </c>
      <c r="D826" t="s">
        <v>54</v>
      </c>
      <c r="E826" t="s">
        <v>14</v>
      </c>
      <c r="F826">
        <v>2</v>
      </c>
      <c r="G826">
        <v>0</v>
      </c>
      <c r="H826" t="s">
        <v>94</v>
      </c>
      <c r="I826" t="b">
        <v>0</v>
      </c>
      <c r="J826">
        <f t="shared" si="24"/>
        <v>2</v>
      </c>
      <c r="K826" t="str">
        <f t="shared" si="25"/>
        <v>Home Win</v>
      </c>
    </row>
    <row r="827" spans="1:11" x14ac:dyDescent="0.35">
      <c r="A827">
        <v>826</v>
      </c>
      <c r="B827">
        <v>2014</v>
      </c>
      <c r="C827" s="1">
        <v>41820</v>
      </c>
      <c r="D827" t="s">
        <v>54</v>
      </c>
      <c r="E827" t="s">
        <v>13</v>
      </c>
      <c r="F827">
        <v>2</v>
      </c>
      <c r="G827">
        <v>1</v>
      </c>
      <c r="H827" t="s">
        <v>83</v>
      </c>
      <c r="I827" t="b">
        <v>0</v>
      </c>
      <c r="J827">
        <f t="shared" si="24"/>
        <v>3</v>
      </c>
      <c r="K827" t="str">
        <f t="shared" si="25"/>
        <v>Home Win</v>
      </c>
    </row>
    <row r="828" spans="1:11" x14ac:dyDescent="0.35">
      <c r="A828">
        <v>827</v>
      </c>
      <c r="B828">
        <v>2014</v>
      </c>
      <c r="C828" s="1">
        <v>41821</v>
      </c>
      <c r="D828" t="s">
        <v>54</v>
      </c>
      <c r="E828" t="s">
        <v>9</v>
      </c>
      <c r="F828">
        <v>1</v>
      </c>
      <c r="G828">
        <v>0</v>
      </c>
      <c r="H828" t="s">
        <v>18</v>
      </c>
      <c r="I828" t="b">
        <v>0</v>
      </c>
      <c r="J828">
        <f t="shared" si="24"/>
        <v>1</v>
      </c>
      <c r="K828" t="str">
        <f t="shared" si="25"/>
        <v>Home Win</v>
      </c>
    </row>
    <row r="829" spans="1:11" x14ac:dyDescent="0.35">
      <c r="A829">
        <v>828</v>
      </c>
      <c r="B829">
        <v>2014</v>
      </c>
      <c r="C829" s="1">
        <v>41821</v>
      </c>
      <c r="D829" t="s">
        <v>54</v>
      </c>
      <c r="E829" t="s">
        <v>33</v>
      </c>
      <c r="F829">
        <v>2</v>
      </c>
      <c r="G829">
        <v>1</v>
      </c>
      <c r="H829" t="s">
        <v>46</v>
      </c>
      <c r="I829" t="b">
        <v>0</v>
      </c>
      <c r="J829">
        <f t="shared" si="24"/>
        <v>3</v>
      </c>
      <c r="K829" t="str">
        <f t="shared" si="25"/>
        <v>Home Win</v>
      </c>
    </row>
    <row r="830" spans="1:11" x14ac:dyDescent="0.35">
      <c r="A830">
        <v>829</v>
      </c>
      <c r="B830">
        <v>2014</v>
      </c>
      <c r="C830" s="1">
        <v>41824</v>
      </c>
      <c r="D830" t="s">
        <v>56</v>
      </c>
      <c r="E830" t="s">
        <v>14</v>
      </c>
      <c r="F830">
        <v>0</v>
      </c>
      <c r="G830">
        <v>1</v>
      </c>
      <c r="H830" t="s">
        <v>13</v>
      </c>
      <c r="I830" t="b">
        <v>0</v>
      </c>
      <c r="J830">
        <f t="shared" si="24"/>
        <v>1</v>
      </c>
      <c r="K830" t="str">
        <f t="shared" si="25"/>
        <v>Away Win</v>
      </c>
    </row>
    <row r="831" spans="1:11" x14ac:dyDescent="0.35">
      <c r="A831">
        <v>830</v>
      </c>
      <c r="B831">
        <v>2014</v>
      </c>
      <c r="C831" s="1">
        <v>41824</v>
      </c>
      <c r="D831" t="s">
        <v>56</v>
      </c>
      <c r="E831" t="s">
        <v>16</v>
      </c>
      <c r="F831">
        <v>2</v>
      </c>
      <c r="G831">
        <v>1</v>
      </c>
      <c r="H831" t="s">
        <v>67</v>
      </c>
      <c r="I831" t="b">
        <v>1</v>
      </c>
      <c r="J831">
        <f t="shared" si="24"/>
        <v>3</v>
      </c>
      <c r="K831" t="str">
        <f t="shared" si="25"/>
        <v>Home Win</v>
      </c>
    </row>
    <row r="832" spans="1:11" x14ac:dyDescent="0.35">
      <c r="A832">
        <v>831</v>
      </c>
      <c r="B832">
        <v>2014</v>
      </c>
      <c r="C832" s="1">
        <v>41825</v>
      </c>
      <c r="D832" t="s">
        <v>56</v>
      </c>
      <c r="E832" t="s">
        <v>9</v>
      </c>
      <c r="F832">
        <v>1</v>
      </c>
      <c r="G832">
        <v>0</v>
      </c>
      <c r="H832" t="s">
        <v>33</v>
      </c>
      <c r="I832" t="b">
        <v>0</v>
      </c>
      <c r="J832">
        <f t="shared" si="24"/>
        <v>1</v>
      </c>
      <c r="K832" t="str">
        <f t="shared" si="25"/>
        <v>Home Win</v>
      </c>
    </row>
    <row r="833" spans="1:11" x14ac:dyDescent="0.35">
      <c r="A833">
        <v>832</v>
      </c>
      <c r="B833">
        <v>2014</v>
      </c>
      <c r="C833" s="1">
        <v>41825</v>
      </c>
      <c r="D833" t="s">
        <v>56</v>
      </c>
      <c r="E833" t="s">
        <v>25</v>
      </c>
      <c r="F833">
        <v>0</v>
      </c>
      <c r="G833">
        <v>0</v>
      </c>
      <c r="H833" t="s">
        <v>90</v>
      </c>
      <c r="I833" t="b">
        <v>0</v>
      </c>
      <c r="J833">
        <f t="shared" si="24"/>
        <v>0</v>
      </c>
      <c r="K833" t="str">
        <f t="shared" si="25"/>
        <v>Draw</v>
      </c>
    </row>
    <row r="834" spans="1:11" x14ac:dyDescent="0.35">
      <c r="A834">
        <v>833</v>
      </c>
      <c r="B834">
        <v>2014</v>
      </c>
      <c r="C834" s="1">
        <v>41828</v>
      </c>
      <c r="D834" t="s">
        <v>52</v>
      </c>
      <c r="E834" t="s">
        <v>16</v>
      </c>
      <c r="F834">
        <v>1</v>
      </c>
      <c r="G834">
        <v>7</v>
      </c>
      <c r="H834" t="s">
        <v>13</v>
      </c>
      <c r="I834" t="b">
        <v>1</v>
      </c>
      <c r="J834">
        <f t="shared" si="24"/>
        <v>8</v>
      </c>
      <c r="K834" t="str">
        <f t="shared" si="25"/>
        <v>Away Win</v>
      </c>
    </row>
    <row r="835" spans="1:11" x14ac:dyDescent="0.35">
      <c r="A835">
        <v>834</v>
      </c>
      <c r="B835">
        <v>2014</v>
      </c>
      <c r="C835" s="1">
        <v>41829</v>
      </c>
      <c r="D835" t="s">
        <v>52</v>
      </c>
      <c r="E835" t="s">
        <v>25</v>
      </c>
      <c r="F835">
        <v>0</v>
      </c>
      <c r="G835">
        <v>0</v>
      </c>
      <c r="H835" t="s">
        <v>9</v>
      </c>
      <c r="I835" t="b">
        <v>0</v>
      </c>
      <c r="J835">
        <f t="shared" ref="J835:J898" si="26">F:F+G:G</f>
        <v>0</v>
      </c>
      <c r="K835" t="str">
        <f t="shared" ref="K835:K898" si="27">IF(F835&gt;G835,"Home Win",IF(F835&lt;G835,"Away Win","Draw"))</f>
        <v>Draw</v>
      </c>
    </row>
    <row r="836" spans="1:11" x14ac:dyDescent="0.35">
      <c r="A836">
        <v>835</v>
      </c>
      <c r="B836">
        <v>2014</v>
      </c>
      <c r="C836" s="1">
        <v>41832</v>
      </c>
      <c r="D836" t="s">
        <v>57</v>
      </c>
      <c r="E836" t="s">
        <v>16</v>
      </c>
      <c r="F836">
        <v>0</v>
      </c>
      <c r="G836">
        <v>3</v>
      </c>
      <c r="H836" t="s">
        <v>25</v>
      </c>
      <c r="I836" t="b">
        <v>1</v>
      </c>
      <c r="J836">
        <f t="shared" si="26"/>
        <v>3</v>
      </c>
      <c r="K836" t="str">
        <f t="shared" si="27"/>
        <v>Away Win</v>
      </c>
    </row>
    <row r="837" spans="1:11" x14ac:dyDescent="0.35">
      <c r="A837">
        <v>836</v>
      </c>
      <c r="B837">
        <v>2014</v>
      </c>
      <c r="C837" s="1">
        <v>41833</v>
      </c>
      <c r="D837" t="s">
        <v>53</v>
      </c>
      <c r="E837" t="s">
        <v>13</v>
      </c>
      <c r="F837">
        <v>1</v>
      </c>
      <c r="G837">
        <v>0</v>
      </c>
      <c r="H837" t="s">
        <v>9</v>
      </c>
      <c r="I837" t="b">
        <v>0</v>
      </c>
      <c r="J837">
        <f t="shared" si="26"/>
        <v>1</v>
      </c>
      <c r="K837" t="str">
        <f t="shared" si="27"/>
        <v>Home Win</v>
      </c>
    </row>
    <row r="838" spans="1:11" x14ac:dyDescent="0.35">
      <c r="A838">
        <v>837</v>
      </c>
      <c r="B838">
        <v>2018</v>
      </c>
      <c r="C838" s="1">
        <v>43265</v>
      </c>
      <c r="D838" t="s">
        <v>45</v>
      </c>
      <c r="E838" t="s">
        <v>32</v>
      </c>
      <c r="F838">
        <v>5</v>
      </c>
      <c r="G838">
        <v>0</v>
      </c>
      <c r="H838" t="s">
        <v>92</v>
      </c>
      <c r="I838" t="b">
        <v>1</v>
      </c>
      <c r="J838">
        <f t="shared" si="26"/>
        <v>5</v>
      </c>
      <c r="K838" t="str">
        <f t="shared" si="27"/>
        <v>Home Win</v>
      </c>
    </row>
    <row r="839" spans="1:11" x14ac:dyDescent="0.35">
      <c r="A839">
        <v>838</v>
      </c>
      <c r="B839">
        <v>2018</v>
      </c>
      <c r="C839" s="1">
        <v>43266</v>
      </c>
      <c r="D839" t="s">
        <v>45</v>
      </c>
      <c r="E839" t="s">
        <v>55</v>
      </c>
      <c r="F839">
        <v>0</v>
      </c>
      <c r="G839">
        <v>1</v>
      </c>
      <c r="H839" t="s">
        <v>8</v>
      </c>
      <c r="I839" t="b">
        <v>0</v>
      </c>
      <c r="J839">
        <f t="shared" si="26"/>
        <v>1</v>
      </c>
      <c r="K839" t="str">
        <f t="shared" si="27"/>
        <v>Away Win</v>
      </c>
    </row>
    <row r="840" spans="1:11" x14ac:dyDescent="0.35">
      <c r="A840">
        <v>839</v>
      </c>
      <c r="B840">
        <v>2018</v>
      </c>
      <c r="C840" s="1">
        <v>43266</v>
      </c>
      <c r="D840" t="s">
        <v>45</v>
      </c>
      <c r="E840" t="s">
        <v>71</v>
      </c>
      <c r="F840">
        <v>0</v>
      </c>
      <c r="G840">
        <v>1</v>
      </c>
      <c r="H840" t="s">
        <v>80</v>
      </c>
      <c r="I840" t="b">
        <v>0</v>
      </c>
      <c r="J840">
        <f t="shared" si="26"/>
        <v>1</v>
      </c>
      <c r="K840" t="str">
        <f t="shared" si="27"/>
        <v>Away Win</v>
      </c>
    </row>
    <row r="841" spans="1:11" x14ac:dyDescent="0.35">
      <c r="A841">
        <v>840</v>
      </c>
      <c r="B841">
        <v>2018</v>
      </c>
      <c r="C841" s="1">
        <v>43266</v>
      </c>
      <c r="D841" t="s">
        <v>45</v>
      </c>
      <c r="E841" t="s">
        <v>23</v>
      </c>
      <c r="F841">
        <v>3</v>
      </c>
      <c r="G841">
        <v>3</v>
      </c>
      <c r="H841" t="s">
        <v>27</v>
      </c>
      <c r="I841" t="b">
        <v>0</v>
      </c>
      <c r="J841">
        <f t="shared" si="26"/>
        <v>6</v>
      </c>
      <c r="K841" t="str">
        <f t="shared" si="27"/>
        <v>Draw</v>
      </c>
    </row>
    <row r="842" spans="1:11" x14ac:dyDescent="0.35">
      <c r="A842">
        <v>841</v>
      </c>
      <c r="B842">
        <v>2018</v>
      </c>
      <c r="C842" s="1">
        <v>43267</v>
      </c>
      <c r="D842" t="s">
        <v>45</v>
      </c>
      <c r="E842" t="s">
        <v>14</v>
      </c>
      <c r="F842">
        <v>2</v>
      </c>
      <c r="G842">
        <v>1</v>
      </c>
      <c r="H842" t="s">
        <v>75</v>
      </c>
      <c r="I842" t="b">
        <v>0</v>
      </c>
      <c r="J842">
        <f t="shared" si="26"/>
        <v>3</v>
      </c>
      <c r="K842" t="str">
        <f t="shared" si="27"/>
        <v>Home Win</v>
      </c>
    </row>
    <row r="843" spans="1:11" x14ac:dyDescent="0.35">
      <c r="A843">
        <v>842</v>
      </c>
      <c r="B843">
        <v>2018</v>
      </c>
      <c r="C843" s="1">
        <v>43267</v>
      </c>
      <c r="D843" t="s">
        <v>45</v>
      </c>
      <c r="E843" t="s">
        <v>9</v>
      </c>
      <c r="F843">
        <v>1</v>
      </c>
      <c r="G843">
        <v>1</v>
      </c>
      <c r="H843" t="s">
        <v>111</v>
      </c>
      <c r="I843" t="b">
        <v>0</v>
      </c>
      <c r="J843">
        <f t="shared" si="26"/>
        <v>2</v>
      </c>
      <c r="K843" t="str">
        <f t="shared" si="27"/>
        <v>Draw</v>
      </c>
    </row>
    <row r="844" spans="1:11" x14ac:dyDescent="0.35">
      <c r="A844">
        <v>843</v>
      </c>
      <c r="B844">
        <v>2018</v>
      </c>
      <c r="C844" s="1">
        <v>43267</v>
      </c>
      <c r="D844" t="s">
        <v>45</v>
      </c>
      <c r="E844" t="s">
        <v>49</v>
      </c>
      <c r="F844">
        <v>0</v>
      </c>
      <c r="G844">
        <v>1</v>
      </c>
      <c r="H844" t="s">
        <v>88</v>
      </c>
      <c r="I844" t="b">
        <v>0</v>
      </c>
      <c r="J844">
        <f t="shared" si="26"/>
        <v>1</v>
      </c>
      <c r="K844" t="str">
        <f t="shared" si="27"/>
        <v>Away Win</v>
      </c>
    </row>
    <row r="845" spans="1:11" x14ac:dyDescent="0.35">
      <c r="A845">
        <v>844</v>
      </c>
      <c r="B845">
        <v>2018</v>
      </c>
      <c r="C845" s="1">
        <v>43267</v>
      </c>
      <c r="D845" t="s">
        <v>45</v>
      </c>
      <c r="E845" t="s">
        <v>28</v>
      </c>
      <c r="F845">
        <v>2</v>
      </c>
      <c r="G845">
        <v>0</v>
      </c>
      <c r="H845" t="s">
        <v>94</v>
      </c>
      <c r="I845" t="b">
        <v>0</v>
      </c>
      <c r="J845">
        <f t="shared" si="26"/>
        <v>2</v>
      </c>
      <c r="K845" t="str">
        <f t="shared" si="27"/>
        <v>Home Win</v>
      </c>
    </row>
    <row r="846" spans="1:11" x14ac:dyDescent="0.35">
      <c r="A846">
        <v>845</v>
      </c>
      <c r="B846">
        <v>2018</v>
      </c>
      <c r="C846" s="1">
        <v>43268</v>
      </c>
      <c r="D846" t="s">
        <v>45</v>
      </c>
      <c r="E846" t="s">
        <v>90</v>
      </c>
      <c r="F846">
        <v>0</v>
      </c>
      <c r="G846">
        <v>1</v>
      </c>
      <c r="H846" t="s">
        <v>103</v>
      </c>
      <c r="I846" t="b">
        <v>0</v>
      </c>
      <c r="J846">
        <f t="shared" si="26"/>
        <v>1</v>
      </c>
      <c r="K846" t="str">
        <f t="shared" si="27"/>
        <v>Away Win</v>
      </c>
    </row>
    <row r="847" spans="1:11" x14ac:dyDescent="0.35">
      <c r="A847">
        <v>846</v>
      </c>
      <c r="B847">
        <v>2018</v>
      </c>
      <c r="C847" s="1">
        <v>43268</v>
      </c>
      <c r="D847" t="s">
        <v>45</v>
      </c>
      <c r="E847" t="s">
        <v>13</v>
      </c>
      <c r="F847">
        <v>0</v>
      </c>
      <c r="G847">
        <v>1</v>
      </c>
      <c r="H847" t="s">
        <v>24</v>
      </c>
      <c r="I847" t="b">
        <v>0</v>
      </c>
      <c r="J847">
        <f t="shared" si="26"/>
        <v>1</v>
      </c>
      <c r="K847" t="str">
        <f t="shared" si="27"/>
        <v>Away Win</v>
      </c>
    </row>
    <row r="848" spans="1:11" x14ac:dyDescent="0.35">
      <c r="A848">
        <v>847</v>
      </c>
      <c r="B848">
        <v>2018</v>
      </c>
      <c r="C848" s="1">
        <v>43268</v>
      </c>
      <c r="D848" t="s">
        <v>45</v>
      </c>
      <c r="E848" t="s">
        <v>16</v>
      </c>
      <c r="F848">
        <v>1</v>
      </c>
      <c r="G848">
        <v>1</v>
      </c>
      <c r="H848" t="s">
        <v>18</v>
      </c>
      <c r="I848" t="b">
        <v>0</v>
      </c>
      <c r="J848">
        <f t="shared" si="26"/>
        <v>2</v>
      </c>
      <c r="K848" t="str">
        <f t="shared" si="27"/>
        <v>Draw</v>
      </c>
    </row>
    <row r="849" spans="1:11" x14ac:dyDescent="0.35">
      <c r="A849">
        <v>848</v>
      </c>
      <c r="B849">
        <v>2018</v>
      </c>
      <c r="C849" s="1">
        <v>43269</v>
      </c>
      <c r="D849" t="s">
        <v>45</v>
      </c>
      <c r="E849" t="s">
        <v>17</v>
      </c>
      <c r="F849">
        <v>1</v>
      </c>
      <c r="G849">
        <v>0</v>
      </c>
      <c r="H849" t="s">
        <v>64</v>
      </c>
      <c r="I849" t="b">
        <v>0</v>
      </c>
      <c r="J849">
        <f t="shared" si="26"/>
        <v>1</v>
      </c>
      <c r="K849" t="str">
        <f t="shared" si="27"/>
        <v>Home Win</v>
      </c>
    </row>
    <row r="850" spans="1:11" x14ac:dyDescent="0.35">
      <c r="A850">
        <v>849</v>
      </c>
      <c r="B850">
        <v>2018</v>
      </c>
      <c r="C850" s="1">
        <v>43269</v>
      </c>
      <c r="D850" t="s">
        <v>45</v>
      </c>
      <c r="E850" t="s">
        <v>33</v>
      </c>
      <c r="F850">
        <v>3</v>
      </c>
      <c r="G850">
        <v>0</v>
      </c>
      <c r="H850" t="s">
        <v>112</v>
      </c>
      <c r="I850" t="b">
        <v>0</v>
      </c>
      <c r="J850">
        <f t="shared" si="26"/>
        <v>3</v>
      </c>
      <c r="K850" t="str">
        <f t="shared" si="27"/>
        <v>Home Win</v>
      </c>
    </row>
    <row r="851" spans="1:11" x14ac:dyDescent="0.35">
      <c r="A851">
        <v>850</v>
      </c>
      <c r="B851">
        <v>2018</v>
      </c>
      <c r="C851" s="1">
        <v>43269</v>
      </c>
      <c r="D851" t="s">
        <v>45</v>
      </c>
      <c r="E851" t="s">
        <v>79</v>
      </c>
      <c r="F851">
        <v>1</v>
      </c>
      <c r="G851">
        <v>2</v>
      </c>
      <c r="H851" t="s">
        <v>22</v>
      </c>
      <c r="I851" t="b">
        <v>0</v>
      </c>
      <c r="J851">
        <f t="shared" si="26"/>
        <v>3</v>
      </c>
      <c r="K851" t="str">
        <f t="shared" si="27"/>
        <v>Away Win</v>
      </c>
    </row>
    <row r="852" spans="1:11" x14ac:dyDescent="0.35">
      <c r="A852">
        <v>851</v>
      </c>
      <c r="B852">
        <v>2018</v>
      </c>
      <c r="C852" s="1">
        <v>43270</v>
      </c>
      <c r="D852" t="s">
        <v>45</v>
      </c>
      <c r="E852" t="s">
        <v>67</v>
      </c>
      <c r="F852">
        <v>1</v>
      </c>
      <c r="G852">
        <v>2</v>
      </c>
      <c r="H852" t="s">
        <v>95</v>
      </c>
      <c r="I852" t="b">
        <v>0</v>
      </c>
      <c r="J852">
        <f t="shared" si="26"/>
        <v>3</v>
      </c>
      <c r="K852" t="str">
        <f t="shared" si="27"/>
        <v>Away Win</v>
      </c>
    </row>
    <row r="853" spans="1:11" x14ac:dyDescent="0.35">
      <c r="A853">
        <v>852</v>
      </c>
      <c r="B853">
        <v>2018</v>
      </c>
      <c r="C853" s="1">
        <v>43270</v>
      </c>
      <c r="D853" t="s">
        <v>45</v>
      </c>
      <c r="E853" t="s">
        <v>26</v>
      </c>
      <c r="F853">
        <v>1</v>
      </c>
      <c r="G853">
        <v>2</v>
      </c>
      <c r="H853" t="s">
        <v>97</v>
      </c>
      <c r="I853" t="b">
        <v>0</v>
      </c>
      <c r="J853">
        <f t="shared" si="26"/>
        <v>3</v>
      </c>
      <c r="K853" t="str">
        <f t="shared" si="27"/>
        <v>Away Win</v>
      </c>
    </row>
    <row r="854" spans="1:11" x14ac:dyDescent="0.35">
      <c r="A854">
        <v>853</v>
      </c>
      <c r="B854">
        <v>2018</v>
      </c>
      <c r="C854" s="1">
        <v>43270</v>
      </c>
      <c r="D854" t="s">
        <v>45</v>
      </c>
      <c r="E854" t="s">
        <v>32</v>
      </c>
      <c r="F854">
        <v>3</v>
      </c>
      <c r="G854">
        <v>1</v>
      </c>
      <c r="H854" t="s">
        <v>55</v>
      </c>
      <c r="I854" t="b">
        <v>1</v>
      </c>
      <c r="J854">
        <f t="shared" si="26"/>
        <v>4</v>
      </c>
      <c r="K854" t="str">
        <f t="shared" si="27"/>
        <v>Home Win</v>
      </c>
    </row>
    <row r="855" spans="1:11" x14ac:dyDescent="0.35">
      <c r="A855">
        <v>854</v>
      </c>
      <c r="B855">
        <v>2018</v>
      </c>
      <c r="C855" s="1">
        <v>43271</v>
      </c>
      <c r="D855" t="s">
        <v>45</v>
      </c>
      <c r="E855" t="s">
        <v>23</v>
      </c>
      <c r="F855">
        <v>1</v>
      </c>
      <c r="G855">
        <v>0</v>
      </c>
      <c r="H855" t="s">
        <v>71</v>
      </c>
      <c r="I855" t="b">
        <v>0</v>
      </c>
      <c r="J855">
        <f t="shared" si="26"/>
        <v>1</v>
      </c>
      <c r="K855" t="str">
        <f t="shared" si="27"/>
        <v>Home Win</v>
      </c>
    </row>
    <row r="856" spans="1:11" x14ac:dyDescent="0.35">
      <c r="A856">
        <v>855</v>
      </c>
      <c r="B856">
        <v>2018</v>
      </c>
      <c r="C856" s="1">
        <v>43271</v>
      </c>
      <c r="D856" t="s">
        <v>45</v>
      </c>
      <c r="E856" t="s">
        <v>8</v>
      </c>
      <c r="F856">
        <v>1</v>
      </c>
      <c r="G856">
        <v>0</v>
      </c>
      <c r="H856" t="s">
        <v>92</v>
      </c>
      <c r="I856" t="b">
        <v>0</v>
      </c>
      <c r="J856">
        <f t="shared" si="26"/>
        <v>1</v>
      </c>
      <c r="K856" t="str">
        <f t="shared" si="27"/>
        <v>Home Win</v>
      </c>
    </row>
    <row r="857" spans="1:11" x14ac:dyDescent="0.35">
      <c r="A857">
        <v>856</v>
      </c>
      <c r="B857">
        <v>2018</v>
      </c>
      <c r="C857" s="1">
        <v>43271</v>
      </c>
      <c r="D857" t="s">
        <v>45</v>
      </c>
      <c r="E857" t="s">
        <v>80</v>
      </c>
      <c r="F857">
        <v>0</v>
      </c>
      <c r="G857">
        <v>1</v>
      </c>
      <c r="H857" t="s">
        <v>27</v>
      </c>
      <c r="I857" t="b">
        <v>0</v>
      </c>
      <c r="J857">
        <f t="shared" si="26"/>
        <v>1</v>
      </c>
      <c r="K857" t="str">
        <f t="shared" si="27"/>
        <v>Away Win</v>
      </c>
    </row>
    <row r="858" spans="1:11" x14ac:dyDescent="0.35">
      <c r="A858">
        <v>857</v>
      </c>
      <c r="B858">
        <v>2018</v>
      </c>
      <c r="C858" s="1">
        <v>43272</v>
      </c>
      <c r="D858" t="s">
        <v>45</v>
      </c>
      <c r="E858" t="s">
        <v>88</v>
      </c>
      <c r="F858">
        <v>1</v>
      </c>
      <c r="G858">
        <v>1</v>
      </c>
      <c r="H858" t="s">
        <v>75</v>
      </c>
      <c r="I858" t="b">
        <v>0</v>
      </c>
      <c r="J858">
        <f t="shared" si="26"/>
        <v>2</v>
      </c>
      <c r="K858" t="str">
        <f t="shared" si="27"/>
        <v>Draw</v>
      </c>
    </row>
    <row r="859" spans="1:11" x14ac:dyDescent="0.35">
      <c r="A859">
        <v>858</v>
      </c>
      <c r="B859">
        <v>2018</v>
      </c>
      <c r="C859" s="1">
        <v>43272</v>
      </c>
      <c r="D859" t="s">
        <v>45</v>
      </c>
      <c r="E859" t="s">
        <v>14</v>
      </c>
      <c r="F859">
        <v>1</v>
      </c>
      <c r="G859">
        <v>0</v>
      </c>
      <c r="H859" t="s">
        <v>49</v>
      </c>
      <c r="I859" t="b">
        <v>0</v>
      </c>
      <c r="J859">
        <f t="shared" si="26"/>
        <v>1</v>
      </c>
      <c r="K859" t="str">
        <f t="shared" si="27"/>
        <v>Home Win</v>
      </c>
    </row>
    <row r="860" spans="1:11" x14ac:dyDescent="0.35">
      <c r="A860">
        <v>859</v>
      </c>
      <c r="B860">
        <v>2018</v>
      </c>
      <c r="C860" s="1">
        <v>43272</v>
      </c>
      <c r="D860" t="s">
        <v>45</v>
      </c>
      <c r="E860" t="s">
        <v>9</v>
      </c>
      <c r="F860">
        <v>0</v>
      </c>
      <c r="G860">
        <v>3</v>
      </c>
      <c r="H860" t="s">
        <v>28</v>
      </c>
      <c r="I860" t="b">
        <v>0</v>
      </c>
      <c r="J860">
        <f t="shared" si="26"/>
        <v>3</v>
      </c>
      <c r="K860" t="str">
        <f t="shared" si="27"/>
        <v>Away Win</v>
      </c>
    </row>
    <row r="861" spans="1:11" x14ac:dyDescent="0.35">
      <c r="A861">
        <v>860</v>
      </c>
      <c r="B861">
        <v>2018</v>
      </c>
      <c r="C861" s="1">
        <v>43273</v>
      </c>
      <c r="D861" t="s">
        <v>45</v>
      </c>
      <c r="E861" t="s">
        <v>16</v>
      </c>
      <c r="F861">
        <v>2</v>
      </c>
      <c r="G861">
        <v>0</v>
      </c>
      <c r="H861" t="s">
        <v>90</v>
      </c>
      <c r="I861" t="b">
        <v>0</v>
      </c>
      <c r="J861">
        <f t="shared" si="26"/>
        <v>2</v>
      </c>
      <c r="K861" t="str">
        <f t="shared" si="27"/>
        <v>Home Win</v>
      </c>
    </row>
    <row r="862" spans="1:11" x14ac:dyDescent="0.35">
      <c r="A862">
        <v>861</v>
      </c>
      <c r="B862">
        <v>2018</v>
      </c>
      <c r="C862" s="1">
        <v>43273</v>
      </c>
      <c r="D862" t="s">
        <v>45</v>
      </c>
      <c r="E862" t="s">
        <v>94</v>
      </c>
      <c r="F862">
        <v>2</v>
      </c>
      <c r="G862">
        <v>0</v>
      </c>
      <c r="H862" t="s">
        <v>111</v>
      </c>
      <c r="I862" t="b">
        <v>0</v>
      </c>
      <c r="J862">
        <f t="shared" si="26"/>
        <v>2</v>
      </c>
      <c r="K862" t="str">
        <f t="shared" si="27"/>
        <v>Home Win</v>
      </c>
    </row>
    <row r="863" spans="1:11" x14ac:dyDescent="0.35">
      <c r="A863">
        <v>862</v>
      </c>
      <c r="B863">
        <v>2018</v>
      </c>
      <c r="C863" s="1">
        <v>43273</v>
      </c>
      <c r="D863" t="s">
        <v>45</v>
      </c>
      <c r="E863" t="s">
        <v>103</v>
      </c>
      <c r="F863">
        <v>1</v>
      </c>
      <c r="G863">
        <v>2</v>
      </c>
      <c r="H863" t="s">
        <v>18</v>
      </c>
      <c r="I863" t="b">
        <v>0</v>
      </c>
      <c r="J863">
        <f t="shared" si="26"/>
        <v>3</v>
      </c>
      <c r="K863" t="str">
        <f t="shared" si="27"/>
        <v>Away Win</v>
      </c>
    </row>
    <row r="864" spans="1:11" x14ac:dyDescent="0.35">
      <c r="A864">
        <v>863</v>
      </c>
      <c r="B864">
        <v>2018</v>
      </c>
      <c r="C864" s="1">
        <v>43274</v>
      </c>
      <c r="D864" t="s">
        <v>45</v>
      </c>
      <c r="E864" t="s">
        <v>33</v>
      </c>
      <c r="F864">
        <v>5</v>
      </c>
      <c r="G864">
        <v>2</v>
      </c>
      <c r="H864" t="s">
        <v>79</v>
      </c>
      <c r="I864" t="b">
        <v>0</v>
      </c>
      <c r="J864">
        <f t="shared" si="26"/>
        <v>7</v>
      </c>
      <c r="K864" t="str">
        <f t="shared" si="27"/>
        <v>Home Win</v>
      </c>
    </row>
    <row r="865" spans="1:11" x14ac:dyDescent="0.35">
      <c r="A865">
        <v>864</v>
      </c>
      <c r="B865">
        <v>2018</v>
      </c>
      <c r="C865" s="1">
        <v>43274</v>
      </c>
      <c r="D865" t="s">
        <v>45</v>
      </c>
      <c r="E865" t="s">
        <v>64</v>
      </c>
      <c r="F865">
        <v>1</v>
      </c>
      <c r="G865">
        <v>2</v>
      </c>
      <c r="H865" t="s">
        <v>24</v>
      </c>
      <c r="I865" t="b">
        <v>0</v>
      </c>
      <c r="J865">
        <f t="shared" si="26"/>
        <v>3</v>
      </c>
      <c r="K865" t="str">
        <f t="shared" si="27"/>
        <v>Away Win</v>
      </c>
    </row>
    <row r="866" spans="1:11" x14ac:dyDescent="0.35">
      <c r="A866">
        <v>865</v>
      </c>
      <c r="B866">
        <v>2018</v>
      </c>
      <c r="C866" s="1">
        <v>43274</v>
      </c>
      <c r="D866" t="s">
        <v>45</v>
      </c>
      <c r="E866" t="s">
        <v>13</v>
      </c>
      <c r="F866">
        <v>2</v>
      </c>
      <c r="G866">
        <v>1</v>
      </c>
      <c r="H866" t="s">
        <v>17</v>
      </c>
      <c r="I866" t="b">
        <v>0</v>
      </c>
      <c r="J866">
        <f t="shared" si="26"/>
        <v>3</v>
      </c>
      <c r="K866" t="str">
        <f t="shared" si="27"/>
        <v>Home Win</v>
      </c>
    </row>
    <row r="867" spans="1:11" x14ac:dyDescent="0.35">
      <c r="A867">
        <v>866</v>
      </c>
      <c r="B867">
        <v>2018</v>
      </c>
      <c r="C867" s="1">
        <v>43275</v>
      </c>
      <c r="D867" t="s">
        <v>45</v>
      </c>
      <c r="E867" t="s">
        <v>22</v>
      </c>
      <c r="F867">
        <v>6</v>
      </c>
      <c r="G867">
        <v>1</v>
      </c>
      <c r="H867" t="s">
        <v>112</v>
      </c>
      <c r="I867" t="b">
        <v>0</v>
      </c>
      <c r="J867">
        <f t="shared" si="26"/>
        <v>7</v>
      </c>
      <c r="K867" t="str">
        <f t="shared" si="27"/>
        <v>Home Win</v>
      </c>
    </row>
    <row r="868" spans="1:11" x14ac:dyDescent="0.35">
      <c r="A868">
        <v>867</v>
      </c>
      <c r="B868">
        <v>2018</v>
      </c>
      <c r="C868" s="1">
        <v>43275</v>
      </c>
      <c r="D868" t="s">
        <v>45</v>
      </c>
      <c r="E868" t="s">
        <v>95</v>
      </c>
      <c r="F868">
        <v>2</v>
      </c>
      <c r="G868">
        <v>2</v>
      </c>
      <c r="H868" t="s">
        <v>97</v>
      </c>
      <c r="I868" t="b">
        <v>0</v>
      </c>
      <c r="J868">
        <f t="shared" si="26"/>
        <v>4</v>
      </c>
      <c r="K868" t="str">
        <f t="shared" si="27"/>
        <v>Draw</v>
      </c>
    </row>
    <row r="869" spans="1:11" x14ac:dyDescent="0.35">
      <c r="A869">
        <v>868</v>
      </c>
      <c r="B869">
        <v>2018</v>
      </c>
      <c r="C869" s="1">
        <v>43275</v>
      </c>
      <c r="D869" t="s">
        <v>45</v>
      </c>
      <c r="E869" t="s">
        <v>26</v>
      </c>
      <c r="F869">
        <v>0</v>
      </c>
      <c r="G869">
        <v>3</v>
      </c>
      <c r="H869" t="s">
        <v>67</v>
      </c>
      <c r="I869" t="b">
        <v>0</v>
      </c>
      <c r="J869">
        <f t="shared" si="26"/>
        <v>3</v>
      </c>
      <c r="K869" t="str">
        <f t="shared" si="27"/>
        <v>Away Win</v>
      </c>
    </row>
    <row r="870" spans="1:11" x14ac:dyDescent="0.35">
      <c r="A870">
        <v>869</v>
      </c>
      <c r="B870">
        <v>2018</v>
      </c>
      <c r="C870" s="1">
        <v>43276</v>
      </c>
      <c r="D870" t="s">
        <v>45</v>
      </c>
      <c r="E870" t="s">
        <v>32</v>
      </c>
      <c r="F870">
        <v>0</v>
      </c>
      <c r="G870">
        <v>3</v>
      </c>
      <c r="H870" t="s">
        <v>8</v>
      </c>
      <c r="I870" t="b">
        <v>1</v>
      </c>
      <c r="J870">
        <f t="shared" si="26"/>
        <v>3</v>
      </c>
      <c r="K870" t="str">
        <f t="shared" si="27"/>
        <v>Away Win</v>
      </c>
    </row>
    <row r="871" spans="1:11" x14ac:dyDescent="0.35">
      <c r="A871">
        <v>870</v>
      </c>
      <c r="B871">
        <v>2018</v>
      </c>
      <c r="C871" s="1">
        <v>43276</v>
      </c>
      <c r="D871" t="s">
        <v>45</v>
      </c>
      <c r="E871" t="s">
        <v>92</v>
      </c>
      <c r="F871">
        <v>2</v>
      </c>
      <c r="G871">
        <v>1</v>
      </c>
      <c r="H871" t="s">
        <v>55</v>
      </c>
      <c r="I871" t="b">
        <v>0</v>
      </c>
      <c r="J871">
        <f t="shared" si="26"/>
        <v>3</v>
      </c>
      <c r="K871" t="str">
        <f t="shared" si="27"/>
        <v>Home Win</v>
      </c>
    </row>
    <row r="872" spans="1:11" x14ac:dyDescent="0.35">
      <c r="A872">
        <v>871</v>
      </c>
      <c r="B872">
        <v>2018</v>
      </c>
      <c r="C872" s="1">
        <v>43276</v>
      </c>
      <c r="D872" t="s">
        <v>45</v>
      </c>
      <c r="E872" t="s">
        <v>27</v>
      </c>
      <c r="F872">
        <v>2</v>
      </c>
      <c r="G872">
        <v>2</v>
      </c>
      <c r="H872" t="s">
        <v>71</v>
      </c>
      <c r="I872" t="b">
        <v>0</v>
      </c>
      <c r="J872">
        <f t="shared" si="26"/>
        <v>4</v>
      </c>
      <c r="K872" t="str">
        <f t="shared" si="27"/>
        <v>Draw</v>
      </c>
    </row>
    <row r="873" spans="1:11" x14ac:dyDescent="0.35">
      <c r="A873">
        <v>872</v>
      </c>
      <c r="B873">
        <v>2018</v>
      </c>
      <c r="C873" s="1">
        <v>43276</v>
      </c>
      <c r="D873" t="s">
        <v>45</v>
      </c>
      <c r="E873" t="s">
        <v>80</v>
      </c>
      <c r="F873">
        <v>1</v>
      </c>
      <c r="G873">
        <v>1</v>
      </c>
      <c r="H873" t="s">
        <v>23</v>
      </c>
      <c r="I873" t="b">
        <v>0</v>
      </c>
      <c r="J873">
        <f t="shared" si="26"/>
        <v>2</v>
      </c>
      <c r="K873" t="str">
        <f t="shared" si="27"/>
        <v>Draw</v>
      </c>
    </row>
    <row r="874" spans="1:11" x14ac:dyDescent="0.35">
      <c r="A874">
        <v>873</v>
      </c>
      <c r="B874">
        <v>2018</v>
      </c>
      <c r="C874" s="1">
        <v>43277</v>
      </c>
      <c r="D874" t="s">
        <v>45</v>
      </c>
      <c r="E874" t="s">
        <v>75</v>
      </c>
      <c r="F874">
        <v>0</v>
      </c>
      <c r="G874">
        <v>2</v>
      </c>
      <c r="H874" t="s">
        <v>49</v>
      </c>
      <c r="I874" t="b">
        <v>0</v>
      </c>
      <c r="J874">
        <f t="shared" si="26"/>
        <v>2</v>
      </c>
      <c r="K874" t="str">
        <f t="shared" si="27"/>
        <v>Away Win</v>
      </c>
    </row>
    <row r="875" spans="1:11" x14ac:dyDescent="0.35">
      <c r="A875">
        <v>874</v>
      </c>
      <c r="B875">
        <v>2018</v>
      </c>
      <c r="C875" s="1">
        <v>43277</v>
      </c>
      <c r="D875" t="s">
        <v>45</v>
      </c>
      <c r="E875" t="s">
        <v>88</v>
      </c>
      <c r="F875">
        <v>0</v>
      </c>
      <c r="G875">
        <v>0</v>
      </c>
      <c r="H875" t="s">
        <v>14</v>
      </c>
      <c r="I875" t="b">
        <v>0</v>
      </c>
      <c r="J875">
        <f t="shared" si="26"/>
        <v>0</v>
      </c>
      <c r="K875" t="str">
        <f t="shared" si="27"/>
        <v>Draw</v>
      </c>
    </row>
    <row r="876" spans="1:11" x14ac:dyDescent="0.35">
      <c r="A876">
        <v>875</v>
      </c>
      <c r="B876">
        <v>2018</v>
      </c>
      <c r="C876" s="1">
        <v>43277</v>
      </c>
      <c r="D876" t="s">
        <v>45</v>
      </c>
      <c r="E876" t="s">
        <v>94</v>
      </c>
      <c r="F876">
        <v>1</v>
      </c>
      <c r="G876">
        <v>2</v>
      </c>
      <c r="H876" t="s">
        <v>9</v>
      </c>
      <c r="I876" t="b">
        <v>0</v>
      </c>
      <c r="J876">
        <f t="shared" si="26"/>
        <v>3</v>
      </c>
      <c r="K876" t="str">
        <f t="shared" si="27"/>
        <v>Away Win</v>
      </c>
    </row>
    <row r="877" spans="1:11" x14ac:dyDescent="0.35">
      <c r="A877">
        <v>876</v>
      </c>
      <c r="B877">
        <v>2018</v>
      </c>
      <c r="C877" s="1">
        <v>43277</v>
      </c>
      <c r="D877" t="s">
        <v>45</v>
      </c>
      <c r="E877" t="s">
        <v>111</v>
      </c>
      <c r="F877">
        <v>1</v>
      </c>
      <c r="G877">
        <v>2</v>
      </c>
      <c r="H877" t="s">
        <v>28</v>
      </c>
      <c r="I877" t="b">
        <v>0</v>
      </c>
      <c r="J877">
        <f t="shared" si="26"/>
        <v>3</v>
      </c>
      <c r="K877" t="str">
        <f t="shared" si="27"/>
        <v>Away Win</v>
      </c>
    </row>
    <row r="878" spans="1:11" x14ac:dyDescent="0.35">
      <c r="A878">
        <v>877</v>
      </c>
      <c r="B878">
        <v>2018</v>
      </c>
      <c r="C878" s="1">
        <v>43278</v>
      </c>
      <c r="D878" t="s">
        <v>45</v>
      </c>
      <c r="E878" t="s">
        <v>64</v>
      </c>
      <c r="F878">
        <v>2</v>
      </c>
      <c r="G878">
        <v>0</v>
      </c>
      <c r="H878" t="s">
        <v>13</v>
      </c>
      <c r="I878" t="b">
        <v>0</v>
      </c>
      <c r="J878">
        <f t="shared" si="26"/>
        <v>2</v>
      </c>
      <c r="K878" t="str">
        <f t="shared" si="27"/>
        <v>Home Win</v>
      </c>
    </row>
    <row r="879" spans="1:11" x14ac:dyDescent="0.35">
      <c r="A879">
        <v>878</v>
      </c>
      <c r="B879">
        <v>2018</v>
      </c>
      <c r="C879" s="1">
        <v>43278</v>
      </c>
      <c r="D879" t="s">
        <v>45</v>
      </c>
      <c r="E879" t="s">
        <v>24</v>
      </c>
      <c r="F879">
        <v>0</v>
      </c>
      <c r="G879">
        <v>3</v>
      </c>
      <c r="H879" t="s">
        <v>17</v>
      </c>
      <c r="I879" t="b">
        <v>0</v>
      </c>
      <c r="J879">
        <f t="shared" si="26"/>
        <v>3</v>
      </c>
      <c r="K879" t="str">
        <f t="shared" si="27"/>
        <v>Away Win</v>
      </c>
    </row>
    <row r="880" spans="1:11" x14ac:dyDescent="0.35">
      <c r="A880">
        <v>879</v>
      </c>
      <c r="B880">
        <v>2018</v>
      </c>
      <c r="C880" s="1">
        <v>43278</v>
      </c>
      <c r="D880" t="s">
        <v>45</v>
      </c>
      <c r="E880" t="s">
        <v>103</v>
      </c>
      <c r="F880">
        <v>0</v>
      </c>
      <c r="G880">
        <v>2</v>
      </c>
      <c r="H880" t="s">
        <v>16</v>
      </c>
      <c r="I880" t="b">
        <v>0</v>
      </c>
      <c r="J880">
        <f t="shared" si="26"/>
        <v>2</v>
      </c>
      <c r="K880" t="str">
        <f t="shared" si="27"/>
        <v>Away Win</v>
      </c>
    </row>
    <row r="881" spans="1:11" x14ac:dyDescent="0.35">
      <c r="A881">
        <v>880</v>
      </c>
      <c r="B881">
        <v>2018</v>
      </c>
      <c r="C881" s="1">
        <v>43278</v>
      </c>
      <c r="D881" t="s">
        <v>45</v>
      </c>
      <c r="E881" t="s">
        <v>18</v>
      </c>
      <c r="F881">
        <v>2</v>
      </c>
      <c r="G881">
        <v>2</v>
      </c>
      <c r="H881" t="s">
        <v>90</v>
      </c>
      <c r="I881" t="b">
        <v>0</v>
      </c>
      <c r="J881">
        <f t="shared" si="26"/>
        <v>4</v>
      </c>
      <c r="K881" t="str">
        <f t="shared" si="27"/>
        <v>Draw</v>
      </c>
    </row>
    <row r="882" spans="1:11" x14ac:dyDescent="0.35">
      <c r="A882">
        <v>881</v>
      </c>
      <c r="B882">
        <v>2018</v>
      </c>
      <c r="C882" s="1">
        <v>43279</v>
      </c>
      <c r="D882" t="s">
        <v>45</v>
      </c>
      <c r="E882" t="s">
        <v>95</v>
      </c>
      <c r="F882">
        <v>0</v>
      </c>
      <c r="G882">
        <v>1</v>
      </c>
      <c r="H882" t="s">
        <v>26</v>
      </c>
      <c r="I882" t="b">
        <v>0</v>
      </c>
      <c r="J882">
        <f t="shared" si="26"/>
        <v>1</v>
      </c>
      <c r="K882" t="str">
        <f t="shared" si="27"/>
        <v>Away Win</v>
      </c>
    </row>
    <row r="883" spans="1:11" x14ac:dyDescent="0.35">
      <c r="A883">
        <v>882</v>
      </c>
      <c r="B883">
        <v>2018</v>
      </c>
      <c r="C883" s="1">
        <v>43279</v>
      </c>
      <c r="D883" t="s">
        <v>45</v>
      </c>
      <c r="E883" t="s">
        <v>97</v>
      </c>
      <c r="F883">
        <v>0</v>
      </c>
      <c r="G883">
        <v>1</v>
      </c>
      <c r="H883" t="s">
        <v>67</v>
      </c>
      <c r="I883" t="b">
        <v>0</v>
      </c>
      <c r="J883">
        <f t="shared" si="26"/>
        <v>1</v>
      </c>
      <c r="K883" t="str">
        <f t="shared" si="27"/>
        <v>Away Win</v>
      </c>
    </row>
    <row r="884" spans="1:11" x14ac:dyDescent="0.35">
      <c r="A884">
        <v>883</v>
      </c>
      <c r="B884">
        <v>2018</v>
      </c>
      <c r="C884" s="1">
        <v>43279</v>
      </c>
      <c r="D884" t="s">
        <v>45</v>
      </c>
      <c r="E884" t="s">
        <v>112</v>
      </c>
      <c r="F884">
        <v>1</v>
      </c>
      <c r="G884">
        <v>2</v>
      </c>
      <c r="H884" t="s">
        <v>79</v>
      </c>
      <c r="I884" t="b">
        <v>0</v>
      </c>
      <c r="J884">
        <f t="shared" si="26"/>
        <v>3</v>
      </c>
      <c r="K884" t="str">
        <f t="shared" si="27"/>
        <v>Away Win</v>
      </c>
    </row>
    <row r="885" spans="1:11" x14ac:dyDescent="0.35">
      <c r="A885">
        <v>884</v>
      </c>
      <c r="B885">
        <v>2018</v>
      </c>
      <c r="C885" s="1">
        <v>43279</v>
      </c>
      <c r="D885" t="s">
        <v>45</v>
      </c>
      <c r="E885" t="s">
        <v>22</v>
      </c>
      <c r="F885">
        <v>0</v>
      </c>
      <c r="G885">
        <v>1</v>
      </c>
      <c r="H885" t="s">
        <v>33</v>
      </c>
      <c r="I885" t="b">
        <v>0</v>
      </c>
      <c r="J885">
        <f t="shared" si="26"/>
        <v>1</v>
      </c>
      <c r="K885" t="str">
        <f t="shared" si="27"/>
        <v>Away Win</v>
      </c>
    </row>
    <row r="886" spans="1:11" x14ac:dyDescent="0.35">
      <c r="A886">
        <v>885</v>
      </c>
      <c r="B886">
        <v>2018</v>
      </c>
      <c r="C886" s="1">
        <v>43281</v>
      </c>
      <c r="D886" t="s">
        <v>54</v>
      </c>
      <c r="E886" t="s">
        <v>14</v>
      </c>
      <c r="F886">
        <v>4</v>
      </c>
      <c r="G886">
        <v>3</v>
      </c>
      <c r="H886" t="s">
        <v>9</v>
      </c>
      <c r="I886" t="b">
        <v>0</v>
      </c>
      <c r="J886">
        <f t="shared" si="26"/>
        <v>7</v>
      </c>
      <c r="K886" t="str">
        <f t="shared" si="27"/>
        <v>Home Win</v>
      </c>
    </row>
    <row r="887" spans="1:11" x14ac:dyDescent="0.35">
      <c r="A887">
        <v>886</v>
      </c>
      <c r="B887">
        <v>2018</v>
      </c>
      <c r="C887" s="1">
        <v>43281</v>
      </c>
      <c r="D887" t="s">
        <v>54</v>
      </c>
      <c r="E887" t="s">
        <v>8</v>
      </c>
      <c r="F887">
        <v>2</v>
      </c>
      <c r="G887">
        <v>1</v>
      </c>
      <c r="H887" t="s">
        <v>23</v>
      </c>
      <c r="I887" t="b">
        <v>0</v>
      </c>
      <c r="J887">
        <f t="shared" si="26"/>
        <v>3</v>
      </c>
      <c r="K887" t="str">
        <f t="shared" si="27"/>
        <v>Home Win</v>
      </c>
    </row>
    <row r="888" spans="1:11" x14ac:dyDescent="0.35">
      <c r="A888">
        <v>887</v>
      </c>
      <c r="B888">
        <v>2018</v>
      </c>
      <c r="C888" s="1">
        <v>43282</v>
      </c>
      <c r="D888" t="s">
        <v>54</v>
      </c>
      <c r="E888" t="s">
        <v>32</v>
      </c>
      <c r="F888">
        <v>1</v>
      </c>
      <c r="G888">
        <v>1</v>
      </c>
      <c r="H888" t="s">
        <v>27</v>
      </c>
      <c r="I888" t="b">
        <v>1</v>
      </c>
      <c r="J888">
        <f t="shared" si="26"/>
        <v>2</v>
      </c>
      <c r="K888" t="str">
        <f t="shared" si="27"/>
        <v>Draw</v>
      </c>
    </row>
    <row r="889" spans="1:11" x14ac:dyDescent="0.35">
      <c r="A889">
        <v>888</v>
      </c>
      <c r="B889">
        <v>2018</v>
      </c>
      <c r="C889" s="1">
        <v>43282</v>
      </c>
      <c r="D889" t="s">
        <v>54</v>
      </c>
      <c r="E889" t="s">
        <v>28</v>
      </c>
      <c r="F889">
        <v>1</v>
      </c>
      <c r="G889">
        <v>1</v>
      </c>
      <c r="H889" t="s">
        <v>88</v>
      </c>
      <c r="I889" t="b">
        <v>0</v>
      </c>
      <c r="J889">
        <f t="shared" si="26"/>
        <v>2</v>
      </c>
      <c r="K889" t="str">
        <f t="shared" si="27"/>
        <v>Draw</v>
      </c>
    </row>
    <row r="890" spans="1:11" x14ac:dyDescent="0.35">
      <c r="A890">
        <v>889</v>
      </c>
      <c r="B890">
        <v>2018</v>
      </c>
      <c r="C890" s="1">
        <v>43283</v>
      </c>
      <c r="D890" t="s">
        <v>54</v>
      </c>
      <c r="E890" t="s">
        <v>16</v>
      </c>
      <c r="F890">
        <v>2</v>
      </c>
      <c r="G890">
        <v>0</v>
      </c>
      <c r="H890" t="s">
        <v>24</v>
      </c>
      <c r="I890" t="b">
        <v>0</v>
      </c>
      <c r="J890">
        <f t="shared" si="26"/>
        <v>2</v>
      </c>
      <c r="K890" t="str">
        <f t="shared" si="27"/>
        <v>Home Win</v>
      </c>
    </row>
    <row r="891" spans="1:11" x14ac:dyDescent="0.35">
      <c r="A891">
        <v>890</v>
      </c>
      <c r="B891">
        <v>2018</v>
      </c>
      <c r="C891" s="1">
        <v>43283</v>
      </c>
      <c r="D891" t="s">
        <v>54</v>
      </c>
      <c r="E891" t="s">
        <v>33</v>
      </c>
      <c r="F891">
        <v>3</v>
      </c>
      <c r="G891">
        <v>2</v>
      </c>
      <c r="H891" t="s">
        <v>95</v>
      </c>
      <c r="I891" t="b">
        <v>0</v>
      </c>
      <c r="J891">
        <f t="shared" si="26"/>
        <v>5</v>
      </c>
      <c r="K891" t="str">
        <f t="shared" si="27"/>
        <v>Home Win</v>
      </c>
    </row>
    <row r="892" spans="1:11" x14ac:dyDescent="0.35">
      <c r="A892">
        <v>891</v>
      </c>
      <c r="B892">
        <v>2018</v>
      </c>
      <c r="C892" s="1">
        <v>43284</v>
      </c>
      <c r="D892" t="s">
        <v>54</v>
      </c>
      <c r="E892" t="s">
        <v>17</v>
      </c>
      <c r="F892">
        <v>1</v>
      </c>
      <c r="G892">
        <v>0</v>
      </c>
      <c r="H892" t="s">
        <v>18</v>
      </c>
      <c r="I892" t="b">
        <v>0</v>
      </c>
      <c r="J892">
        <f t="shared" si="26"/>
        <v>1</v>
      </c>
      <c r="K892" t="str">
        <f t="shared" si="27"/>
        <v>Home Win</v>
      </c>
    </row>
    <row r="893" spans="1:11" x14ac:dyDescent="0.35">
      <c r="A893">
        <v>892</v>
      </c>
      <c r="B893">
        <v>2018</v>
      </c>
      <c r="C893" s="1">
        <v>43284</v>
      </c>
      <c r="D893" t="s">
        <v>54</v>
      </c>
      <c r="E893" t="s">
        <v>67</v>
      </c>
      <c r="F893">
        <v>1</v>
      </c>
      <c r="G893">
        <v>1</v>
      </c>
      <c r="H893" t="s">
        <v>22</v>
      </c>
      <c r="I893" t="b">
        <v>0</v>
      </c>
      <c r="J893">
        <f t="shared" si="26"/>
        <v>2</v>
      </c>
      <c r="K893" t="str">
        <f t="shared" si="27"/>
        <v>Draw</v>
      </c>
    </row>
    <row r="894" spans="1:11" x14ac:dyDescent="0.35">
      <c r="A894">
        <v>893</v>
      </c>
      <c r="B894">
        <v>2018</v>
      </c>
      <c r="C894" s="1">
        <v>43287</v>
      </c>
      <c r="D894" t="s">
        <v>56</v>
      </c>
      <c r="E894" t="s">
        <v>8</v>
      </c>
      <c r="F894">
        <v>0</v>
      </c>
      <c r="G894">
        <v>2</v>
      </c>
      <c r="H894" t="s">
        <v>14</v>
      </c>
      <c r="I894" t="b">
        <v>0</v>
      </c>
      <c r="J894">
        <f t="shared" si="26"/>
        <v>2</v>
      </c>
      <c r="K894" t="str">
        <f t="shared" si="27"/>
        <v>Away Win</v>
      </c>
    </row>
    <row r="895" spans="1:11" x14ac:dyDescent="0.35">
      <c r="A895">
        <v>894</v>
      </c>
      <c r="B895">
        <v>2018</v>
      </c>
      <c r="C895" s="1">
        <v>43287</v>
      </c>
      <c r="D895" t="s">
        <v>56</v>
      </c>
      <c r="E895" t="s">
        <v>16</v>
      </c>
      <c r="F895">
        <v>1</v>
      </c>
      <c r="G895">
        <v>2</v>
      </c>
      <c r="H895" t="s">
        <v>33</v>
      </c>
      <c r="I895" t="b">
        <v>0</v>
      </c>
      <c r="J895">
        <f t="shared" si="26"/>
        <v>3</v>
      </c>
      <c r="K895" t="str">
        <f t="shared" si="27"/>
        <v>Away Win</v>
      </c>
    </row>
    <row r="896" spans="1:11" x14ac:dyDescent="0.35">
      <c r="A896">
        <v>895</v>
      </c>
      <c r="B896">
        <v>2018</v>
      </c>
      <c r="C896" s="1">
        <v>43288</v>
      </c>
      <c r="D896" t="s">
        <v>56</v>
      </c>
      <c r="E896" t="s">
        <v>17</v>
      </c>
      <c r="F896">
        <v>0</v>
      </c>
      <c r="G896">
        <v>2</v>
      </c>
      <c r="H896" t="s">
        <v>22</v>
      </c>
      <c r="I896" t="b">
        <v>0</v>
      </c>
      <c r="J896">
        <f t="shared" si="26"/>
        <v>2</v>
      </c>
      <c r="K896" t="str">
        <f t="shared" si="27"/>
        <v>Away Win</v>
      </c>
    </row>
    <row r="897" spans="1:11" x14ac:dyDescent="0.35">
      <c r="A897">
        <v>896</v>
      </c>
      <c r="B897">
        <v>2018</v>
      </c>
      <c r="C897" s="1">
        <v>43288</v>
      </c>
      <c r="D897" t="s">
        <v>56</v>
      </c>
      <c r="E897" t="s">
        <v>32</v>
      </c>
      <c r="F897">
        <v>2</v>
      </c>
      <c r="G897">
        <v>2</v>
      </c>
      <c r="H897" t="s">
        <v>28</v>
      </c>
      <c r="I897" t="b">
        <v>1</v>
      </c>
      <c r="J897">
        <f t="shared" si="26"/>
        <v>4</v>
      </c>
      <c r="K897" t="str">
        <f t="shared" si="27"/>
        <v>Draw</v>
      </c>
    </row>
    <row r="898" spans="1:11" x14ac:dyDescent="0.35">
      <c r="A898">
        <v>897</v>
      </c>
      <c r="B898">
        <v>2018</v>
      </c>
      <c r="C898" s="1">
        <v>43291</v>
      </c>
      <c r="D898" t="s">
        <v>52</v>
      </c>
      <c r="E898" t="s">
        <v>14</v>
      </c>
      <c r="F898">
        <v>1</v>
      </c>
      <c r="G898">
        <v>0</v>
      </c>
      <c r="H898" t="s">
        <v>33</v>
      </c>
      <c r="I898" t="b">
        <v>0</v>
      </c>
      <c r="J898">
        <f t="shared" si="26"/>
        <v>1</v>
      </c>
      <c r="K898" t="str">
        <f t="shared" si="27"/>
        <v>Home Win</v>
      </c>
    </row>
    <row r="899" spans="1:11" x14ac:dyDescent="0.35">
      <c r="A899">
        <v>898</v>
      </c>
      <c r="B899">
        <v>2018</v>
      </c>
      <c r="C899" s="1">
        <v>43292</v>
      </c>
      <c r="D899" t="s">
        <v>52</v>
      </c>
      <c r="E899" t="s">
        <v>28</v>
      </c>
      <c r="F899">
        <v>2</v>
      </c>
      <c r="G899">
        <v>1</v>
      </c>
      <c r="H899" t="s">
        <v>22</v>
      </c>
      <c r="I899" t="b">
        <v>0</v>
      </c>
      <c r="J899">
        <f t="shared" ref="J899:J901" si="28">F:F+G:G</f>
        <v>3</v>
      </c>
      <c r="K899" t="str">
        <f t="shared" ref="K899:K901" si="29">IF(F899&gt;G899,"Home Win",IF(F899&lt;G899,"Away Win","Draw"))</f>
        <v>Home Win</v>
      </c>
    </row>
    <row r="900" spans="1:11" x14ac:dyDescent="0.35">
      <c r="A900">
        <v>899</v>
      </c>
      <c r="B900">
        <v>2018</v>
      </c>
      <c r="C900" s="1">
        <v>43295</v>
      </c>
      <c r="D900" t="s">
        <v>57</v>
      </c>
      <c r="E900" t="s">
        <v>33</v>
      </c>
      <c r="F900">
        <v>2</v>
      </c>
      <c r="G900">
        <v>0</v>
      </c>
      <c r="H900" t="s">
        <v>22</v>
      </c>
      <c r="I900" t="b">
        <v>0</v>
      </c>
      <c r="J900">
        <f t="shared" si="28"/>
        <v>2</v>
      </c>
      <c r="K900" t="str">
        <f t="shared" si="29"/>
        <v>Home Win</v>
      </c>
    </row>
    <row r="901" spans="1:11" x14ac:dyDescent="0.35">
      <c r="A901">
        <v>900</v>
      </c>
      <c r="B901">
        <v>2018</v>
      </c>
      <c r="C901" s="1">
        <v>43296</v>
      </c>
      <c r="D901" t="s">
        <v>53</v>
      </c>
      <c r="E901" t="s">
        <v>14</v>
      </c>
      <c r="F901">
        <v>4</v>
      </c>
      <c r="G901">
        <v>2</v>
      </c>
      <c r="H901" t="s">
        <v>28</v>
      </c>
      <c r="I901" t="b">
        <v>0</v>
      </c>
      <c r="J901">
        <f t="shared" si="28"/>
        <v>6</v>
      </c>
      <c r="K901" t="str">
        <f t="shared" si="29"/>
        <v>Home Win</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C9C5A-5C94-41D1-9C9E-D23E7D31F237}">
  <dimension ref="A1:F22"/>
  <sheetViews>
    <sheetView topLeftCell="A19" workbookViewId="0">
      <selection activeCell="F22" sqref="F22"/>
    </sheetView>
  </sheetViews>
  <sheetFormatPr defaultRowHeight="14.5" x14ac:dyDescent="0.35"/>
  <cols>
    <col min="1" max="1" width="17.1796875" bestFit="1" customWidth="1"/>
    <col min="2" max="2" width="16.54296875" bestFit="1" customWidth="1"/>
    <col min="3" max="3" width="17.1796875" bestFit="1" customWidth="1"/>
    <col min="4" max="4" width="10.36328125" bestFit="1" customWidth="1"/>
    <col min="5" max="5" width="14.6328125" bestFit="1" customWidth="1"/>
    <col min="6" max="7" width="16.54296875" bestFit="1" customWidth="1"/>
  </cols>
  <sheetData>
    <row r="1" spans="1:6" x14ac:dyDescent="0.35">
      <c r="A1" t="s">
        <v>121</v>
      </c>
      <c r="B1" t="s">
        <v>122</v>
      </c>
      <c r="C1" t="s">
        <v>123</v>
      </c>
    </row>
    <row r="2" spans="1:6" x14ac:dyDescent="0.35">
      <c r="A2">
        <v>900</v>
      </c>
      <c r="B2">
        <v>2548</v>
      </c>
      <c r="C2" s="5">
        <v>2.8311111111111109</v>
      </c>
    </row>
    <row r="3" spans="1:6" x14ac:dyDescent="0.35">
      <c r="A3" s="2" t="s">
        <v>113</v>
      </c>
      <c r="B3" t="s">
        <v>124</v>
      </c>
    </row>
    <row r="4" spans="1:6" x14ac:dyDescent="0.35">
      <c r="A4" s="3" t="s">
        <v>125</v>
      </c>
      <c r="B4" s="6">
        <v>198</v>
      </c>
      <c r="C4" s="2" t="s">
        <v>113</v>
      </c>
      <c r="D4" t="s">
        <v>128</v>
      </c>
      <c r="E4" s="4"/>
      <c r="F4" s="4"/>
    </row>
    <row r="5" spans="1:6" x14ac:dyDescent="0.35">
      <c r="A5" s="3" t="s">
        <v>126</v>
      </c>
      <c r="B5" s="6">
        <v>199</v>
      </c>
      <c r="C5" s="3" t="s">
        <v>53</v>
      </c>
      <c r="D5" s="6">
        <v>20</v>
      </c>
      <c r="E5" s="3"/>
      <c r="F5" s="6"/>
    </row>
    <row r="6" spans="1:6" x14ac:dyDescent="0.35">
      <c r="A6" s="3" t="s">
        <v>127</v>
      </c>
      <c r="B6" s="6">
        <v>503</v>
      </c>
      <c r="C6" s="3" t="s">
        <v>62</v>
      </c>
      <c r="D6" s="6">
        <v>6</v>
      </c>
      <c r="E6" s="3"/>
      <c r="F6" s="6"/>
    </row>
    <row r="7" spans="1:6" x14ac:dyDescent="0.35">
      <c r="A7" s="3" t="s">
        <v>114</v>
      </c>
      <c r="B7" s="6">
        <v>900</v>
      </c>
      <c r="C7" s="3" t="s">
        <v>73</v>
      </c>
      <c r="D7" s="6">
        <v>84</v>
      </c>
      <c r="E7" s="3"/>
      <c r="F7" s="6"/>
    </row>
    <row r="8" spans="1:6" x14ac:dyDescent="0.35">
      <c r="C8" s="3" t="s">
        <v>61</v>
      </c>
      <c r="D8" s="6">
        <v>16</v>
      </c>
      <c r="E8" s="3"/>
      <c r="F8" s="6"/>
    </row>
    <row r="9" spans="1:6" x14ac:dyDescent="0.35">
      <c r="A9" s="2" t="s">
        <v>113</v>
      </c>
      <c r="B9" t="s">
        <v>122</v>
      </c>
      <c r="C9" s="3" t="s">
        <v>45</v>
      </c>
      <c r="D9" s="6">
        <v>528</v>
      </c>
    </row>
    <row r="10" spans="1:6" x14ac:dyDescent="0.35">
      <c r="A10" s="3" t="s">
        <v>53</v>
      </c>
      <c r="B10" s="6">
        <v>74</v>
      </c>
      <c r="C10" s="3" t="s">
        <v>56</v>
      </c>
      <c r="D10" s="6">
        <v>66</v>
      </c>
    </row>
    <row r="11" spans="1:6" x14ac:dyDescent="0.35">
      <c r="A11" s="3" t="s">
        <v>62</v>
      </c>
      <c r="B11" s="6">
        <v>31</v>
      </c>
      <c r="C11" s="3" t="s">
        <v>54</v>
      </c>
      <c r="D11" s="6">
        <v>89</v>
      </c>
    </row>
    <row r="12" spans="1:6" x14ac:dyDescent="0.35">
      <c r="A12" s="3" t="s">
        <v>73</v>
      </c>
      <c r="B12" s="6">
        <v>223</v>
      </c>
      <c r="C12" s="3" t="s">
        <v>78</v>
      </c>
      <c r="D12" s="6">
        <v>36</v>
      </c>
    </row>
    <row r="13" spans="1:6" x14ac:dyDescent="0.35">
      <c r="A13" s="3" t="s">
        <v>61</v>
      </c>
      <c r="B13" s="6">
        <v>57</v>
      </c>
      <c r="C13" s="3" t="s">
        <v>52</v>
      </c>
      <c r="D13" s="6">
        <v>36</v>
      </c>
    </row>
    <row r="14" spans="1:6" x14ac:dyDescent="0.35">
      <c r="A14" s="3" t="s">
        <v>45</v>
      </c>
      <c r="B14" s="6">
        <v>1408</v>
      </c>
      <c r="C14" s="3" t="s">
        <v>57</v>
      </c>
      <c r="D14" s="6">
        <v>19</v>
      </c>
    </row>
    <row r="15" spans="1:6" x14ac:dyDescent="0.35">
      <c r="A15" s="3" t="s">
        <v>56</v>
      </c>
      <c r="B15" s="6">
        <v>186</v>
      </c>
      <c r="C15" s="3" t="s">
        <v>114</v>
      </c>
      <c r="D15" s="6">
        <v>900</v>
      </c>
    </row>
    <row r="16" spans="1:6" x14ac:dyDescent="0.35">
      <c r="A16" s="3" t="s">
        <v>54</v>
      </c>
      <c r="B16" s="6">
        <v>275</v>
      </c>
    </row>
    <row r="17" spans="1:6" x14ac:dyDescent="0.35">
      <c r="A17" s="3" t="s">
        <v>78</v>
      </c>
      <c r="B17" s="6">
        <v>94</v>
      </c>
    </row>
    <row r="18" spans="1:6" x14ac:dyDescent="0.35">
      <c r="A18" s="3" t="s">
        <v>52</v>
      </c>
      <c r="B18" s="6">
        <v>127</v>
      </c>
    </row>
    <row r="19" spans="1:6" x14ac:dyDescent="0.35">
      <c r="A19" s="3" t="s">
        <v>57</v>
      </c>
      <c r="B19" s="6">
        <v>73</v>
      </c>
    </row>
    <row r="20" spans="1:6" x14ac:dyDescent="0.35">
      <c r="A20" s="3" t="s">
        <v>114</v>
      </c>
      <c r="B20" s="6">
        <v>2548</v>
      </c>
    </row>
    <row r="21" spans="1:6" x14ac:dyDescent="0.35">
      <c r="F21" t="s">
        <v>122</v>
      </c>
    </row>
    <row r="22" spans="1:6" x14ac:dyDescent="0.35">
      <c r="F22" s="6">
        <v>2548</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C007C-C717-4447-969E-1C70FC94C133}">
  <sheetPr>
    <pageSetUpPr fitToPage="1"/>
  </sheetPr>
  <dimension ref="B1:N7"/>
  <sheetViews>
    <sheetView showGridLines="0" tabSelected="1" topLeftCell="C1" zoomScaleNormal="100" workbookViewId="0">
      <selection activeCell="N5" sqref="N5:N7"/>
    </sheetView>
  </sheetViews>
  <sheetFormatPr defaultRowHeight="14.5" x14ac:dyDescent="0.35"/>
  <cols>
    <col min="1" max="1" width="0.54296875" style="12" customWidth="1"/>
    <col min="2" max="2" width="17.26953125" style="12" bestFit="1" customWidth="1"/>
    <col min="3" max="3" width="8.7265625" style="12"/>
    <col min="4" max="4" width="19.54296875" style="12" bestFit="1" customWidth="1"/>
    <col min="5" max="5" width="8.7265625" style="12"/>
    <col min="6" max="6" width="22.26953125" style="12" bestFit="1" customWidth="1"/>
    <col min="7" max="7" width="8.7265625" style="12"/>
    <col min="8" max="8" width="13.90625" style="12" bestFit="1" customWidth="1"/>
    <col min="9" max="9" width="8.7265625" style="12"/>
    <col min="10" max="10" width="14" style="12" bestFit="1" customWidth="1"/>
    <col min="11" max="11" width="8.7265625" style="12"/>
    <col min="12" max="12" width="18" style="12" bestFit="1" customWidth="1"/>
    <col min="13" max="13" width="8.7265625" style="12"/>
    <col min="14" max="14" width="21.90625" style="12" customWidth="1"/>
    <col min="15" max="16384" width="8.7265625" style="12"/>
  </cols>
  <sheetData>
    <row r="1" spans="2:14" x14ac:dyDescent="0.35">
      <c r="B1" s="13" t="s">
        <v>129</v>
      </c>
      <c r="C1" s="14"/>
      <c r="D1" s="14"/>
      <c r="E1" s="14"/>
      <c r="F1" s="14"/>
      <c r="G1" s="14"/>
      <c r="H1" s="14"/>
      <c r="I1" s="14"/>
      <c r="J1" s="14"/>
      <c r="K1" s="14"/>
      <c r="L1" s="14"/>
      <c r="M1" s="14"/>
      <c r="N1" s="15"/>
    </row>
    <row r="2" spans="2:14" x14ac:dyDescent="0.35">
      <c r="B2" s="16"/>
      <c r="C2" s="17"/>
      <c r="D2" s="17"/>
      <c r="E2" s="17"/>
      <c r="F2" s="17"/>
      <c r="G2" s="17"/>
      <c r="H2" s="17"/>
      <c r="I2" s="17"/>
      <c r="J2" s="17"/>
      <c r="K2" s="17"/>
      <c r="L2" s="17"/>
      <c r="M2" s="17"/>
      <c r="N2" s="18"/>
    </row>
    <row r="3" spans="2:14" ht="15" thickBot="1" x14ac:dyDescent="0.4">
      <c r="B3" s="19"/>
      <c r="C3" s="20"/>
      <c r="D3" s="20"/>
      <c r="E3" s="20"/>
      <c r="F3" s="20"/>
      <c r="G3" s="20"/>
      <c r="H3" s="20"/>
      <c r="I3" s="20"/>
      <c r="J3" s="20"/>
      <c r="K3" s="20"/>
      <c r="L3" s="20"/>
      <c r="M3" s="20"/>
      <c r="N3" s="21"/>
    </row>
    <row r="4" spans="2:14" ht="15" thickBot="1" x14ac:dyDescent="0.4"/>
    <row r="5" spans="2:14" ht="15.5" x14ac:dyDescent="0.35">
      <c r="B5" s="7" t="s">
        <v>118</v>
      </c>
      <c r="D5" s="8" t="s">
        <v>43</v>
      </c>
      <c r="F5" s="8" t="s">
        <v>121</v>
      </c>
      <c r="H5" s="8" t="s">
        <v>119</v>
      </c>
      <c r="J5" s="8" t="s">
        <v>121</v>
      </c>
      <c r="L5" s="8" t="s">
        <v>122</v>
      </c>
      <c r="N5" s="8" t="s">
        <v>123</v>
      </c>
    </row>
    <row r="6" spans="2:14" ht="15.5" x14ac:dyDescent="0.35">
      <c r="B6" s="9">
        <v>22</v>
      </c>
      <c r="D6" s="9">
        <v>2720</v>
      </c>
      <c r="F6" s="9">
        <v>964</v>
      </c>
      <c r="H6" s="10">
        <v>123.63636363636364</v>
      </c>
      <c r="J6" s="9">
        <v>900</v>
      </c>
      <c r="L6" s="9">
        <v>2548</v>
      </c>
      <c r="N6" s="10">
        <v>2.8311111111111109</v>
      </c>
    </row>
    <row r="7" spans="2:14" ht="16" thickBot="1" x14ac:dyDescent="0.4">
      <c r="B7" s="11"/>
      <c r="D7" s="11"/>
      <c r="F7" s="11"/>
      <c r="H7" s="11"/>
      <c r="J7" s="11"/>
      <c r="L7" s="11"/>
      <c r="N7" s="11"/>
    </row>
  </sheetData>
  <mergeCells count="1">
    <mergeCell ref="B1:N3"/>
  </mergeCells>
  <pageMargins left="0.25" right="0.25" top="0.75" bottom="0.75" header="0.3" footer="0.3"/>
  <pageSetup scale="58" orientation="landscape" r:id="rId7"/>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World Cup</vt:lpstr>
      <vt:lpstr>KPI - 1</vt:lpstr>
      <vt:lpstr>World Cup Matches</vt:lpstr>
      <vt:lpstr>KPI - 2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PRAKASH</dc:creator>
  <cp:lastModifiedBy>Sunke Malathi</cp:lastModifiedBy>
  <cp:lastPrinted>2026-04-11T10:50:29Z</cp:lastPrinted>
  <dcterms:created xsi:type="dcterms:W3CDTF">2026-03-24T19:13:09Z</dcterms:created>
  <dcterms:modified xsi:type="dcterms:W3CDTF">2026-04-11T10:52:53Z</dcterms:modified>
</cp:coreProperties>
</file>